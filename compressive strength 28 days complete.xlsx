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26a0b4784d7190/Documents/"/>
    </mc:Choice>
  </mc:AlternateContent>
  <xr:revisionPtr revIDLastSave="25" documentId="8_{4027C5C5-6CB7-4559-8091-C01B6FF0447A}" xr6:coauthVersionLast="47" xr6:coauthVersionMax="47" xr10:uidLastSave="{3CE093D0-32E7-47CC-97FB-1F2D5DD66C22}"/>
  <bookViews>
    <workbookView xWindow="-108" yWindow="-108" windowWidth="23256" windowHeight="12576" xr2:uid="{F9A550E4-A781-4D4F-A61D-72F95B639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<sst xmlns="http://schemas.openxmlformats.org/spreadsheetml/2006/main" count="32" uniqueCount="18">
  <si>
    <t>Flyash (kg/m3)</t>
  </si>
  <si>
    <t>GGBFS
(kg/m3)</t>
  </si>
  <si>
    <t xml:space="preserve">Curing Temperature (°C) </t>
  </si>
  <si>
    <t>curing time
hr</t>
  </si>
  <si>
    <r>
      <t>Na</t>
    </r>
    <r>
      <rPr>
        <b/>
        <vertAlign val="subscript"/>
        <sz val="10"/>
        <color rgb="FF000000"/>
        <rFont val="Times New Roman"/>
        <family val="1"/>
      </rPr>
      <t>2</t>
    </r>
    <r>
      <rPr>
        <b/>
        <sz val="10"/>
        <color rgb="FF000000"/>
        <rFont val="Times New Roman"/>
        <family val="1"/>
      </rPr>
      <t>SiO</t>
    </r>
    <r>
      <rPr>
        <b/>
        <vertAlign val="subscript"/>
        <sz val="10"/>
        <color rgb="FF000000"/>
        <rFont val="Times New Roman"/>
        <family val="1"/>
      </rPr>
      <t xml:space="preserve">3
</t>
    </r>
    <r>
      <rPr>
        <b/>
        <sz val="10"/>
        <color rgb="FF000000"/>
        <rFont val="Times New Roman"/>
        <family val="1"/>
      </rPr>
      <t>(kg/m3)</t>
    </r>
  </si>
  <si>
    <t>NaOH
(kg/m3)</t>
  </si>
  <si>
    <r>
      <t>Na</t>
    </r>
    <r>
      <rPr>
        <b/>
        <vertAlign val="subscript"/>
        <sz val="10"/>
        <color rgb="FF000000"/>
        <rFont val="Times New Roman"/>
        <family val="1"/>
      </rPr>
      <t>2</t>
    </r>
    <r>
      <rPr>
        <b/>
        <sz val="10"/>
        <color rgb="FF000000"/>
        <rFont val="Times New Roman"/>
        <family val="1"/>
      </rPr>
      <t>SiO</t>
    </r>
    <r>
      <rPr>
        <b/>
        <vertAlign val="subscript"/>
        <sz val="10"/>
        <color rgb="FF000000"/>
        <rFont val="Times New Roman"/>
        <family val="1"/>
      </rPr>
      <t>3/ NaOH</t>
    </r>
  </si>
  <si>
    <t>Molarity of NaOH</t>
  </si>
  <si>
    <t xml:space="preserve">Alkaline Activator/ Binder Ratio </t>
  </si>
  <si>
    <t>Water</t>
  </si>
  <si>
    <t>SP</t>
  </si>
  <si>
    <t>NCA
(kg/m3)</t>
  </si>
  <si>
    <t>RCA
(kg/m3)</t>
  </si>
  <si>
    <t>Sand
(kg/m3)</t>
  </si>
  <si>
    <t>R-sand
(kg/m3)</t>
  </si>
  <si>
    <t>Compressive Strength (Mpa)</t>
  </si>
  <si>
    <t>N\A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</si>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</sst>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vertical="center" wrapText="1"/>
    </xf>
    <xf numFmtId="0" fontId="1" fillId="2" borderId="2" xfId="0" applyFont="1" applyFill="1" applyBorder="1"/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8AEE-F24A-40BA-9BD3-BF644AE54B41}">
  <dimension ref="A1:R86"/>
  <sheetViews>
    <sheetView tabSelected="1" workbookViewId="0">
      <selection activeCell="P1" sqref="P1:R1"/>
    </sheetView>
  </sheetViews>
  <sheetFormatPr defaultRowHeight="14.4" x14ac:dyDescent="0.3"/>
  <sheetData>
    <row r="1" spans="1:18" ht="52.8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9" t="s">
        <v>15</v>
      </c>
      <c r="Q1" s="40"/>
      <c r="R1" s="41"/>
    </row>
    <row r="2" spans="1:18" x14ac:dyDescent="0.3">
      <c r="A2" s="5">
        <v>420</v>
      </c>
      <c r="B2" s="6">
        <v>0</v>
      </c>
      <c r="C2" s="5">
        <v>75</v>
      </c>
      <c r="D2" s="6">
        <v>24</v>
      </c>
      <c r="E2" s="7">
        <v>165</v>
      </c>
      <c r="F2" s="8">
        <v>66</v>
      </c>
      <c r="G2">
        <f>E2/F2</f>
        <v>2.5</v>
      </c>
      <c r="H2" s="6">
        <v>14</v>
      </c>
      <c r="I2" s="9">
        <f t="shared" ref="I2:I13" si="0">(E2+F2)/(A2+B2)</f>
        <v>0.55000000000000004</v>
      </c>
      <c r="J2" s="5">
        <v>0</v>
      </c>
      <c r="K2" s="6">
        <v>0</v>
      </c>
      <c r="L2" s="8">
        <v>1220</v>
      </c>
      <c r="M2" s="8">
        <v>0</v>
      </c>
      <c r="N2" s="8">
        <v>550</v>
      </c>
      <c r="O2" s="8">
        <v>0</v>
      </c>
      <c r="P2" s="8">
        <v>26.1</v>
      </c>
    </row>
    <row r="3" spans="1:18" x14ac:dyDescent="0.3">
      <c r="A3" s="5">
        <v>378</v>
      </c>
      <c r="B3" s="6">
        <v>42</v>
      </c>
      <c r="C3" s="5">
        <v>75</v>
      </c>
      <c r="D3" s="6">
        <v>24</v>
      </c>
      <c r="E3" s="7">
        <v>165</v>
      </c>
      <c r="F3" s="8">
        <v>66</v>
      </c>
      <c r="G3">
        <f t="shared" ref="G3:G13" si="1">E3/F3</f>
        <v>2.5</v>
      </c>
      <c r="H3" s="6">
        <v>14</v>
      </c>
      <c r="I3" s="9">
        <f t="shared" si="0"/>
        <v>0.55000000000000004</v>
      </c>
      <c r="J3" s="5">
        <v>0</v>
      </c>
      <c r="K3" s="6">
        <v>0</v>
      </c>
      <c r="L3" s="8">
        <v>1220</v>
      </c>
      <c r="M3" s="8">
        <v>0</v>
      </c>
      <c r="N3" s="8">
        <v>550</v>
      </c>
      <c r="O3" s="8">
        <v>0</v>
      </c>
      <c r="P3" s="8">
        <v>43.5</v>
      </c>
    </row>
    <row r="4" spans="1:18" x14ac:dyDescent="0.3">
      <c r="A4" s="5">
        <v>336</v>
      </c>
      <c r="B4" s="6">
        <v>84</v>
      </c>
      <c r="C4" s="5">
        <v>75</v>
      </c>
      <c r="D4" s="6">
        <v>24</v>
      </c>
      <c r="E4" s="7">
        <v>165</v>
      </c>
      <c r="F4" s="8">
        <v>66</v>
      </c>
      <c r="G4">
        <f t="shared" si="1"/>
        <v>2.5</v>
      </c>
      <c r="H4" s="6">
        <v>14</v>
      </c>
      <c r="I4" s="9">
        <f t="shared" si="0"/>
        <v>0.55000000000000004</v>
      </c>
      <c r="J4" s="5">
        <v>0</v>
      </c>
      <c r="K4" s="6">
        <v>0</v>
      </c>
      <c r="L4" s="8">
        <v>1220</v>
      </c>
      <c r="M4" s="8">
        <v>0</v>
      </c>
      <c r="N4" s="8">
        <v>550</v>
      </c>
      <c r="O4" s="8">
        <v>0</v>
      </c>
      <c r="P4" s="8">
        <v>47</v>
      </c>
    </row>
    <row r="5" spans="1:18" x14ac:dyDescent="0.3">
      <c r="A5" s="5">
        <v>294</v>
      </c>
      <c r="B5" s="6">
        <v>126</v>
      </c>
      <c r="C5" s="5">
        <v>75</v>
      </c>
      <c r="D5" s="6">
        <v>24</v>
      </c>
      <c r="E5" s="7">
        <v>165</v>
      </c>
      <c r="F5" s="8">
        <v>66</v>
      </c>
      <c r="G5">
        <f t="shared" si="1"/>
        <v>2.5</v>
      </c>
      <c r="H5" s="6">
        <v>14</v>
      </c>
      <c r="I5" s="9">
        <f t="shared" si="0"/>
        <v>0.55000000000000004</v>
      </c>
      <c r="J5" s="5">
        <v>0</v>
      </c>
      <c r="K5" s="6">
        <v>0</v>
      </c>
      <c r="L5" s="8">
        <v>1220</v>
      </c>
      <c r="M5" s="8">
        <v>0</v>
      </c>
      <c r="N5" s="8">
        <v>550</v>
      </c>
      <c r="O5" s="8">
        <v>0</v>
      </c>
      <c r="P5" s="8">
        <v>52.3</v>
      </c>
    </row>
    <row r="6" spans="1:18" x14ac:dyDescent="0.3">
      <c r="A6" s="5">
        <v>420</v>
      </c>
      <c r="B6" s="6">
        <v>0</v>
      </c>
      <c r="C6" s="5">
        <v>75</v>
      </c>
      <c r="D6" s="6">
        <v>24</v>
      </c>
      <c r="E6" s="7">
        <v>165</v>
      </c>
      <c r="F6" s="8">
        <v>66</v>
      </c>
      <c r="G6">
        <f t="shared" si="1"/>
        <v>2.5</v>
      </c>
      <c r="H6" s="6">
        <v>14</v>
      </c>
      <c r="I6" s="9">
        <f t="shared" si="0"/>
        <v>0.55000000000000004</v>
      </c>
      <c r="J6" s="5">
        <v>0</v>
      </c>
      <c r="K6" s="6">
        <v>0</v>
      </c>
      <c r="L6" s="8">
        <v>610</v>
      </c>
      <c r="M6" s="8">
        <v>610</v>
      </c>
      <c r="N6" s="8">
        <v>550</v>
      </c>
      <c r="O6" s="8">
        <v>0</v>
      </c>
      <c r="P6" s="8">
        <v>14</v>
      </c>
    </row>
    <row r="7" spans="1:18" x14ac:dyDescent="0.3">
      <c r="A7" s="5">
        <v>378</v>
      </c>
      <c r="B7" s="6">
        <v>42</v>
      </c>
      <c r="C7" s="5">
        <v>75</v>
      </c>
      <c r="D7" s="6">
        <v>24</v>
      </c>
      <c r="E7" s="7">
        <v>165</v>
      </c>
      <c r="F7" s="8">
        <v>66</v>
      </c>
      <c r="G7">
        <f t="shared" si="1"/>
        <v>2.5</v>
      </c>
      <c r="H7" s="6">
        <v>14</v>
      </c>
      <c r="I7" s="9">
        <f t="shared" si="0"/>
        <v>0.55000000000000004</v>
      </c>
      <c r="J7" s="5">
        <v>0</v>
      </c>
      <c r="K7" s="6">
        <v>0</v>
      </c>
      <c r="L7" s="8">
        <v>610</v>
      </c>
      <c r="M7" s="8">
        <v>610</v>
      </c>
      <c r="N7" s="8">
        <v>550</v>
      </c>
      <c r="O7" s="8">
        <v>0</v>
      </c>
      <c r="P7" s="8">
        <v>31.9</v>
      </c>
    </row>
    <row r="8" spans="1:18" x14ac:dyDescent="0.3">
      <c r="A8" s="5">
        <v>336</v>
      </c>
      <c r="B8" s="6">
        <v>84</v>
      </c>
      <c r="C8" s="5">
        <v>75</v>
      </c>
      <c r="D8" s="6">
        <v>24</v>
      </c>
      <c r="E8" s="7">
        <v>165</v>
      </c>
      <c r="F8" s="8">
        <v>66</v>
      </c>
      <c r="G8">
        <f t="shared" si="1"/>
        <v>2.5</v>
      </c>
      <c r="H8" s="6">
        <v>14</v>
      </c>
      <c r="I8" s="9">
        <f t="shared" si="0"/>
        <v>0.55000000000000004</v>
      </c>
      <c r="J8" s="5">
        <v>0</v>
      </c>
      <c r="K8" s="6">
        <v>0</v>
      </c>
      <c r="L8" s="8">
        <v>610</v>
      </c>
      <c r="M8" s="8">
        <v>610</v>
      </c>
      <c r="N8" s="8">
        <v>550</v>
      </c>
      <c r="O8" s="8">
        <v>0</v>
      </c>
      <c r="P8" s="8">
        <v>35.6</v>
      </c>
    </row>
    <row r="9" spans="1:18" x14ac:dyDescent="0.3">
      <c r="A9" s="5">
        <v>294</v>
      </c>
      <c r="B9" s="6">
        <v>126</v>
      </c>
      <c r="C9" s="5">
        <v>75</v>
      </c>
      <c r="D9" s="6">
        <v>24</v>
      </c>
      <c r="E9" s="7">
        <v>165</v>
      </c>
      <c r="F9" s="8">
        <v>66</v>
      </c>
      <c r="G9">
        <f t="shared" si="1"/>
        <v>2.5</v>
      </c>
      <c r="H9" s="6">
        <v>14</v>
      </c>
      <c r="I9" s="9">
        <f t="shared" si="0"/>
        <v>0.55000000000000004</v>
      </c>
      <c r="J9" s="5">
        <v>0</v>
      </c>
      <c r="K9" s="6">
        <v>0</v>
      </c>
      <c r="L9" s="8">
        <v>610</v>
      </c>
      <c r="M9" s="8">
        <v>610</v>
      </c>
      <c r="N9" s="8">
        <v>550</v>
      </c>
      <c r="O9" s="8">
        <v>0</v>
      </c>
      <c r="P9" s="8">
        <v>43</v>
      </c>
    </row>
    <row r="10" spans="1:18" x14ac:dyDescent="0.3">
      <c r="A10" s="5">
        <v>420</v>
      </c>
      <c r="B10" s="6">
        <v>0</v>
      </c>
      <c r="C10" s="5">
        <v>75</v>
      </c>
      <c r="D10" s="6">
        <v>24</v>
      </c>
      <c r="E10" s="7">
        <v>165</v>
      </c>
      <c r="F10" s="8">
        <v>66</v>
      </c>
      <c r="G10">
        <f t="shared" si="1"/>
        <v>2.5</v>
      </c>
      <c r="H10" s="6">
        <v>14</v>
      </c>
      <c r="I10" s="9">
        <f t="shared" si="0"/>
        <v>0.55000000000000004</v>
      </c>
      <c r="J10" s="5">
        <v>0</v>
      </c>
      <c r="K10" s="6">
        <v>0</v>
      </c>
      <c r="L10" s="8">
        <v>0</v>
      </c>
      <c r="M10" s="8">
        <v>1220</v>
      </c>
      <c r="N10" s="8">
        <v>550</v>
      </c>
      <c r="O10" s="8">
        <v>0</v>
      </c>
      <c r="P10" s="8">
        <v>13.7</v>
      </c>
    </row>
    <row r="11" spans="1:18" x14ac:dyDescent="0.3">
      <c r="A11" s="5">
        <v>378</v>
      </c>
      <c r="B11" s="6">
        <v>42</v>
      </c>
      <c r="C11" s="5">
        <v>75</v>
      </c>
      <c r="D11" s="6">
        <v>24</v>
      </c>
      <c r="E11" s="7">
        <v>165</v>
      </c>
      <c r="F11" s="8">
        <v>66</v>
      </c>
      <c r="G11">
        <f t="shared" si="1"/>
        <v>2.5</v>
      </c>
      <c r="H11" s="6">
        <v>14</v>
      </c>
      <c r="I11" s="9">
        <f t="shared" si="0"/>
        <v>0.55000000000000004</v>
      </c>
      <c r="J11" s="5">
        <v>0</v>
      </c>
      <c r="K11" s="6">
        <v>0</v>
      </c>
      <c r="L11" s="8">
        <v>0</v>
      </c>
      <c r="M11" s="8">
        <v>1220</v>
      </c>
      <c r="N11" s="8">
        <v>550</v>
      </c>
      <c r="O11" s="8">
        <v>0</v>
      </c>
      <c r="P11" s="8">
        <v>27.5</v>
      </c>
    </row>
    <row r="12" spans="1:18" x14ac:dyDescent="0.3">
      <c r="A12" s="5">
        <v>336</v>
      </c>
      <c r="B12" s="6">
        <v>84</v>
      </c>
      <c r="C12" s="5">
        <v>75</v>
      </c>
      <c r="D12" s="6">
        <v>24</v>
      </c>
      <c r="E12" s="7">
        <v>165</v>
      </c>
      <c r="F12" s="8">
        <v>66</v>
      </c>
      <c r="G12">
        <f t="shared" si="1"/>
        <v>2.5</v>
      </c>
      <c r="H12" s="6">
        <v>14</v>
      </c>
      <c r="I12" s="9">
        <f t="shared" si="0"/>
        <v>0.55000000000000004</v>
      </c>
      <c r="J12" s="5">
        <v>0</v>
      </c>
      <c r="K12" s="6">
        <v>0</v>
      </c>
      <c r="L12" s="8">
        <v>0</v>
      </c>
      <c r="M12" s="8">
        <v>1220</v>
      </c>
      <c r="N12" s="8">
        <v>550</v>
      </c>
      <c r="O12" s="8">
        <v>0</v>
      </c>
      <c r="P12" s="8">
        <v>34.799999999999997</v>
      </c>
    </row>
    <row r="13" spans="1:18" x14ac:dyDescent="0.3">
      <c r="A13" s="10">
        <v>294</v>
      </c>
      <c r="B13" s="11">
        <v>126</v>
      </c>
      <c r="C13" s="10">
        <v>75</v>
      </c>
      <c r="D13" s="11">
        <v>24</v>
      </c>
      <c r="E13" s="12">
        <v>165</v>
      </c>
      <c r="F13" s="13">
        <v>66</v>
      </c>
      <c r="G13" s="14">
        <f t="shared" si="1"/>
        <v>2.5</v>
      </c>
      <c r="H13" s="11">
        <v>14</v>
      </c>
      <c r="I13" s="15">
        <f t="shared" si="0"/>
        <v>0.55000000000000004</v>
      </c>
      <c r="J13" s="5">
        <v>0</v>
      </c>
      <c r="K13" s="6">
        <v>0</v>
      </c>
      <c r="L13" s="13">
        <v>0</v>
      </c>
      <c r="M13" s="13">
        <v>1220</v>
      </c>
      <c r="N13" s="13">
        <v>550</v>
      </c>
      <c r="O13" s="13">
        <v>0</v>
      </c>
      <c r="P13" s="13">
        <v>38.1</v>
      </c>
    </row>
    <row r="14" spans="1:18" x14ac:dyDescent="0.3">
      <c r="A14" s="7">
        <v>333</v>
      </c>
      <c r="B14" s="16">
        <v>333</v>
      </c>
      <c r="C14" s="5">
        <v>80</v>
      </c>
      <c r="D14" s="6">
        <v>24</v>
      </c>
      <c r="E14" s="7">
        <v>194</v>
      </c>
      <c r="F14" s="8">
        <v>78</v>
      </c>
      <c r="G14">
        <v>2.5</v>
      </c>
      <c r="H14" s="17">
        <v>12</v>
      </c>
      <c r="I14" s="18">
        <v>0.3</v>
      </c>
      <c r="J14" s="7">
        <v>21</v>
      </c>
      <c r="K14" s="6">
        <v>0</v>
      </c>
      <c r="L14" s="8">
        <v>1038</v>
      </c>
      <c r="M14" s="8">
        <v>0</v>
      </c>
      <c r="N14" s="8">
        <v>445</v>
      </c>
      <c r="O14" s="8">
        <v>0</v>
      </c>
      <c r="P14" t="s">
        <v>16</v>
      </c>
    </row>
    <row r="15" spans="1:18" x14ac:dyDescent="0.3">
      <c r="A15" s="7">
        <v>333</v>
      </c>
      <c r="B15" s="16">
        <v>333</v>
      </c>
      <c r="C15" s="5">
        <v>80</v>
      </c>
      <c r="D15" s="6">
        <v>24</v>
      </c>
      <c r="E15" s="7">
        <v>194</v>
      </c>
      <c r="F15" s="8">
        <v>78</v>
      </c>
      <c r="G15">
        <v>2.5</v>
      </c>
      <c r="H15" s="6">
        <v>12</v>
      </c>
      <c r="I15" s="18">
        <v>0.3</v>
      </c>
      <c r="J15" s="7">
        <v>33</v>
      </c>
      <c r="K15" s="6">
        <v>0</v>
      </c>
      <c r="L15" s="8">
        <v>727</v>
      </c>
      <c r="M15" s="8">
        <v>312</v>
      </c>
      <c r="N15" s="8">
        <v>445</v>
      </c>
      <c r="O15" s="8">
        <v>0</v>
      </c>
      <c r="P15" t="s">
        <v>16</v>
      </c>
    </row>
    <row r="16" spans="1:18" x14ac:dyDescent="0.3">
      <c r="A16" s="7">
        <v>333</v>
      </c>
      <c r="B16" s="16">
        <v>333</v>
      </c>
      <c r="C16" s="5">
        <v>80</v>
      </c>
      <c r="D16" s="6">
        <v>24</v>
      </c>
      <c r="E16" s="7">
        <v>194</v>
      </c>
      <c r="F16" s="8">
        <v>78</v>
      </c>
      <c r="G16">
        <v>2.5</v>
      </c>
      <c r="H16" s="6">
        <v>12</v>
      </c>
      <c r="I16" s="18">
        <v>0.3</v>
      </c>
      <c r="J16" s="7">
        <v>42</v>
      </c>
      <c r="K16" s="6">
        <v>0</v>
      </c>
      <c r="L16" s="8">
        <v>519</v>
      </c>
      <c r="M16" s="8">
        <v>519</v>
      </c>
      <c r="N16" s="8">
        <v>445</v>
      </c>
      <c r="O16" s="8">
        <v>0</v>
      </c>
      <c r="P16" t="s">
        <v>16</v>
      </c>
    </row>
    <row r="17" spans="1:16" x14ac:dyDescent="0.3">
      <c r="A17" s="7">
        <v>333</v>
      </c>
      <c r="B17" s="16">
        <v>333</v>
      </c>
      <c r="C17" s="5">
        <v>80</v>
      </c>
      <c r="D17" s="6">
        <v>24</v>
      </c>
      <c r="E17" s="7">
        <v>194</v>
      </c>
      <c r="F17" s="8">
        <v>78</v>
      </c>
      <c r="G17">
        <v>2.5</v>
      </c>
      <c r="H17" s="6">
        <v>12</v>
      </c>
      <c r="I17" s="18">
        <v>0.3</v>
      </c>
      <c r="J17" s="7">
        <v>50</v>
      </c>
      <c r="K17" s="6">
        <v>0</v>
      </c>
      <c r="L17" s="8">
        <v>312</v>
      </c>
      <c r="M17" s="8">
        <v>727</v>
      </c>
      <c r="N17" s="8">
        <v>445</v>
      </c>
      <c r="O17" s="8">
        <v>0</v>
      </c>
      <c r="P17" t="s">
        <v>16</v>
      </c>
    </row>
    <row r="18" spans="1:16" x14ac:dyDescent="0.3">
      <c r="A18" s="7">
        <v>333</v>
      </c>
      <c r="B18" s="16">
        <v>333</v>
      </c>
      <c r="C18" s="5">
        <v>80</v>
      </c>
      <c r="D18" s="6">
        <v>24</v>
      </c>
      <c r="E18" s="7">
        <v>194</v>
      </c>
      <c r="F18" s="8">
        <v>78</v>
      </c>
      <c r="G18">
        <v>2.5</v>
      </c>
      <c r="H18" s="6">
        <v>12</v>
      </c>
      <c r="I18" s="18">
        <v>0.3</v>
      </c>
      <c r="J18" s="7">
        <v>62</v>
      </c>
      <c r="K18" s="6">
        <v>0</v>
      </c>
      <c r="L18" s="8">
        <v>0</v>
      </c>
      <c r="M18" s="8">
        <v>1038</v>
      </c>
      <c r="N18" s="8">
        <v>445</v>
      </c>
      <c r="O18" s="8">
        <v>0</v>
      </c>
      <c r="P18" s="8">
        <v>61.85</v>
      </c>
    </row>
    <row r="19" spans="1:16" x14ac:dyDescent="0.3">
      <c r="A19" s="7">
        <v>250</v>
      </c>
      <c r="B19" s="16">
        <v>250</v>
      </c>
      <c r="C19" s="5">
        <v>80</v>
      </c>
      <c r="D19" s="6">
        <v>24</v>
      </c>
      <c r="E19" s="7">
        <v>194</v>
      </c>
      <c r="F19" s="8">
        <v>78</v>
      </c>
      <c r="G19">
        <v>2.5</v>
      </c>
      <c r="H19" s="6">
        <v>12</v>
      </c>
      <c r="I19" s="18">
        <v>0.4</v>
      </c>
      <c r="J19" s="7">
        <v>23</v>
      </c>
      <c r="K19" s="6">
        <v>0</v>
      </c>
      <c r="L19" s="8">
        <v>1155</v>
      </c>
      <c r="M19" s="8">
        <v>0</v>
      </c>
      <c r="N19" s="8">
        <v>495</v>
      </c>
      <c r="O19" s="8">
        <v>0</v>
      </c>
      <c r="P19" t="s">
        <v>16</v>
      </c>
    </row>
    <row r="20" spans="1:16" x14ac:dyDescent="0.3">
      <c r="A20" s="7">
        <v>250</v>
      </c>
      <c r="B20" s="16">
        <v>250</v>
      </c>
      <c r="C20" s="5">
        <v>80</v>
      </c>
      <c r="D20" s="6">
        <v>24</v>
      </c>
      <c r="E20" s="7">
        <v>194</v>
      </c>
      <c r="F20" s="8">
        <v>78</v>
      </c>
      <c r="G20">
        <v>2.5</v>
      </c>
      <c r="H20" s="6">
        <v>12</v>
      </c>
      <c r="I20" s="18">
        <v>0.4</v>
      </c>
      <c r="J20" s="7">
        <v>37</v>
      </c>
      <c r="K20" s="6">
        <v>0</v>
      </c>
      <c r="L20" s="8">
        <v>809</v>
      </c>
      <c r="M20" s="8">
        <v>347</v>
      </c>
      <c r="N20" s="8">
        <v>495</v>
      </c>
      <c r="O20" s="8">
        <v>0</v>
      </c>
      <c r="P20" t="s">
        <v>16</v>
      </c>
    </row>
    <row r="21" spans="1:16" x14ac:dyDescent="0.3">
      <c r="A21" s="7">
        <v>250</v>
      </c>
      <c r="B21" s="16">
        <v>250</v>
      </c>
      <c r="C21" s="5">
        <v>80</v>
      </c>
      <c r="D21" s="6">
        <v>24</v>
      </c>
      <c r="E21" s="7">
        <v>194</v>
      </c>
      <c r="F21" s="8">
        <v>78</v>
      </c>
      <c r="G21">
        <v>2.5</v>
      </c>
      <c r="H21" s="6">
        <v>12</v>
      </c>
      <c r="I21" s="18">
        <v>0.4</v>
      </c>
      <c r="J21" s="7">
        <v>46</v>
      </c>
      <c r="K21" s="6">
        <v>0</v>
      </c>
      <c r="L21" s="8">
        <v>578</v>
      </c>
      <c r="M21" s="8">
        <v>578</v>
      </c>
      <c r="N21" s="8">
        <v>495</v>
      </c>
      <c r="O21" s="8">
        <v>0</v>
      </c>
      <c r="P21" t="s">
        <v>16</v>
      </c>
    </row>
    <row r="22" spans="1:16" x14ac:dyDescent="0.3">
      <c r="A22" s="7">
        <v>250</v>
      </c>
      <c r="B22" s="16">
        <v>250</v>
      </c>
      <c r="C22" s="5">
        <v>80</v>
      </c>
      <c r="D22" s="6">
        <v>24</v>
      </c>
      <c r="E22" s="7">
        <v>194</v>
      </c>
      <c r="F22" s="8">
        <v>78</v>
      </c>
      <c r="G22">
        <v>2.5</v>
      </c>
      <c r="H22" s="6">
        <v>12</v>
      </c>
      <c r="I22" s="18">
        <v>0.4</v>
      </c>
      <c r="J22" s="7">
        <v>55</v>
      </c>
      <c r="K22" s="6">
        <v>0</v>
      </c>
      <c r="L22" s="8">
        <v>347</v>
      </c>
      <c r="M22" s="8">
        <v>809</v>
      </c>
      <c r="N22" s="8">
        <v>495</v>
      </c>
      <c r="O22" s="8">
        <v>0</v>
      </c>
      <c r="P22" t="s">
        <v>16</v>
      </c>
    </row>
    <row r="23" spans="1:16" x14ac:dyDescent="0.3">
      <c r="A23" s="7">
        <v>250</v>
      </c>
      <c r="B23" s="16">
        <v>250</v>
      </c>
      <c r="C23" s="5">
        <v>80</v>
      </c>
      <c r="D23" s="6">
        <v>24</v>
      </c>
      <c r="E23" s="7">
        <v>194</v>
      </c>
      <c r="F23" s="8">
        <v>78</v>
      </c>
      <c r="G23">
        <v>2.5</v>
      </c>
      <c r="H23" s="6">
        <v>12</v>
      </c>
      <c r="I23" s="18">
        <v>0.4</v>
      </c>
      <c r="J23" s="7">
        <v>69</v>
      </c>
      <c r="K23" s="6">
        <v>0</v>
      </c>
      <c r="L23" s="8">
        <v>0</v>
      </c>
      <c r="M23" s="8">
        <v>1155</v>
      </c>
      <c r="N23" s="8">
        <v>495</v>
      </c>
      <c r="O23" s="8">
        <v>0</v>
      </c>
      <c r="P23" s="8">
        <v>43.75</v>
      </c>
    </row>
    <row r="24" spans="1:16" x14ac:dyDescent="0.3">
      <c r="A24" s="7">
        <v>200</v>
      </c>
      <c r="B24" s="16">
        <v>200</v>
      </c>
      <c r="C24" s="5">
        <v>80</v>
      </c>
      <c r="D24" s="6">
        <v>24</v>
      </c>
      <c r="E24" s="7">
        <v>194</v>
      </c>
      <c r="F24" s="8">
        <v>78</v>
      </c>
      <c r="G24">
        <v>2.5</v>
      </c>
      <c r="H24" s="6">
        <v>12</v>
      </c>
      <c r="I24" s="18">
        <v>0.5</v>
      </c>
      <c r="J24" s="7">
        <v>25</v>
      </c>
      <c r="K24" s="6">
        <v>0</v>
      </c>
      <c r="L24" s="8">
        <v>1225</v>
      </c>
      <c r="M24" s="8">
        <v>0</v>
      </c>
      <c r="N24" s="8">
        <v>525</v>
      </c>
      <c r="O24" s="8">
        <v>0</v>
      </c>
      <c r="P24" t="s">
        <v>16</v>
      </c>
    </row>
    <row r="25" spans="1:16" x14ac:dyDescent="0.3">
      <c r="A25" s="7">
        <v>200</v>
      </c>
      <c r="B25" s="16">
        <v>200</v>
      </c>
      <c r="C25" s="5">
        <v>80</v>
      </c>
      <c r="D25" s="6">
        <v>24</v>
      </c>
      <c r="E25" s="7">
        <v>194</v>
      </c>
      <c r="F25" s="8">
        <v>78</v>
      </c>
      <c r="G25">
        <v>2.5</v>
      </c>
      <c r="H25" s="6">
        <v>12</v>
      </c>
      <c r="I25" s="18">
        <v>0.5</v>
      </c>
      <c r="J25" s="7">
        <v>39</v>
      </c>
      <c r="K25" s="6">
        <v>0</v>
      </c>
      <c r="L25" s="8">
        <v>858</v>
      </c>
      <c r="M25" s="8">
        <v>368</v>
      </c>
      <c r="N25" s="8">
        <v>525</v>
      </c>
      <c r="O25" s="8">
        <v>0</v>
      </c>
      <c r="P25" t="s">
        <v>16</v>
      </c>
    </row>
    <row r="26" spans="1:16" x14ac:dyDescent="0.3">
      <c r="A26" s="7">
        <v>200</v>
      </c>
      <c r="B26" s="16">
        <v>200</v>
      </c>
      <c r="C26" s="5">
        <v>80</v>
      </c>
      <c r="D26" s="6">
        <v>24</v>
      </c>
      <c r="E26" s="7">
        <v>194</v>
      </c>
      <c r="F26" s="8">
        <v>78</v>
      </c>
      <c r="G26">
        <v>2.5</v>
      </c>
      <c r="H26" s="6">
        <v>12</v>
      </c>
      <c r="I26" s="18">
        <v>0.5</v>
      </c>
      <c r="J26" s="7">
        <v>49</v>
      </c>
      <c r="K26" s="6">
        <v>0</v>
      </c>
      <c r="L26" s="8">
        <v>613</v>
      </c>
      <c r="M26" s="8">
        <v>613</v>
      </c>
      <c r="N26" s="8">
        <v>525</v>
      </c>
      <c r="O26" s="8">
        <v>0</v>
      </c>
      <c r="P26" t="s">
        <v>16</v>
      </c>
    </row>
    <row r="27" spans="1:16" x14ac:dyDescent="0.3">
      <c r="A27" s="7">
        <v>200</v>
      </c>
      <c r="B27" s="16">
        <v>200</v>
      </c>
      <c r="C27" s="5">
        <v>80</v>
      </c>
      <c r="D27" s="6">
        <v>24</v>
      </c>
      <c r="E27" s="7">
        <v>194</v>
      </c>
      <c r="F27" s="8">
        <v>78</v>
      </c>
      <c r="G27">
        <v>2.5</v>
      </c>
      <c r="H27" s="6">
        <v>12</v>
      </c>
      <c r="I27" s="18">
        <v>0.5</v>
      </c>
      <c r="J27" s="7">
        <v>59</v>
      </c>
      <c r="K27" s="6">
        <v>0</v>
      </c>
      <c r="L27" s="8">
        <v>368</v>
      </c>
      <c r="M27" s="8">
        <v>858</v>
      </c>
      <c r="N27" s="8">
        <v>525</v>
      </c>
      <c r="O27" s="8">
        <v>0</v>
      </c>
      <c r="P27" t="s">
        <v>16</v>
      </c>
    </row>
    <row r="28" spans="1:16" x14ac:dyDescent="0.3">
      <c r="A28" s="12">
        <v>200</v>
      </c>
      <c r="B28" s="19">
        <v>200</v>
      </c>
      <c r="C28" s="10">
        <v>80</v>
      </c>
      <c r="D28" s="11">
        <v>24</v>
      </c>
      <c r="E28" s="12">
        <v>194</v>
      </c>
      <c r="F28" s="13">
        <v>78</v>
      </c>
      <c r="G28" s="14">
        <v>2.5</v>
      </c>
      <c r="H28" s="11">
        <v>12</v>
      </c>
      <c r="I28" s="20">
        <v>0.5</v>
      </c>
      <c r="J28" s="12">
        <v>74</v>
      </c>
      <c r="K28" s="6">
        <v>0</v>
      </c>
      <c r="L28" s="13">
        <v>0</v>
      </c>
      <c r="M28" s="13">
        <v>1225</v>
      </c>
      <c r="N28" s="13">
        <v>525</v>
      </c>
      <c r="O28" s="8">
        <v>0</v>
      </c>
      <c r="P28" s="8">
        <v>40.94</v>
      </c>
    </row>
    <row r="29" spans="1:16" x14ac:dyDescent="0.3">
      <c r="A29" s="21">
        <v>276</v>
      </c>
      <c r="B29" s="22">
        <v>184</v>
      </c>
      <c r="C29" s="23">
        <v>21</v>
      </c>
      <c r="D29" s="24">
        <v>24</v>
      </c>
      <c r="E29" s="25">
        <v>147.86000000000001</v>
      </c>
      <c r="F29" s="25">
        <v>82.14</v>
      </c>
      <c r="G29" s="26">
        <f>147.86/82.14</f>
        <v>1.8000973946919894</v>
      </c>
      <c r="H29" s="24">
        <v>14</v>
      </c>
      <c r="I29" s="27">
        <v>0.5</v>
      </c>
      <c r="J29" s="23">
        <v>0</v>
      </c>
      <c r="K29" s="24">
        <v>2.76</v>
      </c>
      <c r="L29" s="25">
        <v>1187.1400000000001</v>
      </c>
      <c r="M29" s="25">
        <v>0</v>
      </c>
      <c r="N29" s="25">
        <v>468.28</v>
      </c>
      <c r="O29" s="26">
        <v>0</v>
      </c>
      <c r="P29" s="24" t="s">
        <v>17</v>
      </c>
    </row>
    <row r="30" spans="1:16" x14ac:dyDescent="0.3">
      <c r="A30" s="7">
        <v>184</v>
      </c>
      <c r="B30" s="16">
        <v>276</v>
      </c>
      <c r="C30" s="5">
        <v>21</v>
      </c>
      <c r="D30" s="6">
        <v>24</v>
      </c>
      <c r="E30" s="8">
        <v>147.86000000000001</v>
      </c>
      <c r="F30" s="8">
        <v>82.14</v>
      </c>
      <c r="G30">
        <f>147.86/82.14</f>
        <v>1.8000973946919894</v>
      </c>
      <c r="H30" s="6">
        <v>14</v>
      </c>
      <c r="I30" s="9">
        <v>0.5</v>
      </c>
      <c r="J30" s="23">
        <v>0</v>
      </c>
      <c r="K30" s="6">
        <v>2.76</v>
      </c>
      <c r="L30" s="8">
        <v>1203.72</v>
      </c>
      <c r="M30" s="8">
        <v>0</v>
      </c>
      <c r="N30" s="8">
        <v>475.43</v>
      </c>
      <c r="O30" s="8">
        <v>0</v>
      </c>
      <c r="P30" s="6">
        <v>82.5</v>
      </c>
    </row>
    <row r="31" spans="1:16" x14ac:dyDescent="0.3">
      <c r="A31" s="7">
        <v>92</v>
      </c>
      <c r="B31" s="16">
        <v>368</v>
      </c>
      <c r="C31" s="5">
        <v>21</v>
      </c>
      <c r="D31" s="6">
        <v>24</v>
      </c>
      <c r="E31" s="8">
        <v>147.86000000000001</v>
      </c>
      <c r="F31" s="8">
        <v>82.14</v>
      </c>
      <c r="G31">
        <f t="shared" ref="G31:G35" si="2">147.86/82.14</f>
        <v>1.8000973946919894</v>
      </c>
      <c r="H31" s="6">
        <v>14</v>
      </c>
      <c r="I31" s="9">
        <v>0.5</v>
      </c>
      <c r="J31" s="23">
        <v>0</v>
      </c>
      <c r="K31" s="6">
        <v>2.76</v>
      </c>
      <c r="L31" s="8">
        <v>1220.3</v>
      </c>
      <c r="M31" s="8">
        <v>0</v>
      </c>
      <c r="N31" s="8">
        <v>482.58</v>
      </c>
      <c r="O31" s="8">
        <v>0</v>
      </c>
      <c r="P31" s="6" t="s">
        <v>17</v>
      </c>
    </row>
    <row r="32" spans="1:16" x14ac:dyDescent="0.3">
      <c r="A32" s="7">
        <v>184</v>
      </c>
      <c r="B32" s="16">
        <v>276</v>
      </c>
      <c r="C32" s="5">
        <v>21</v>
      </c>
      <c r="D32" s="6">
        <v>24</v>
      </c>
      <c r="E32" s="8">
        <v>147.86000000000001</v>
      </c>
      <c r="F32" s="8">
        <v>82.14</v>
      </c>
      <c r="G32">
        <f t="shared" si="2"/>
        <v>1.8000973946919894</v>
      </c>
      <c r="H32" s="6">
        <v>14</v>
      </c>
      <c r="I32" s="9">
        <v>0.5</v>
      </c>
      <c r="J32" s="23">
        <v>0</v>
      </c>
      <c r="K32" s="6">
        <v>2.76</v>
      </c>
      <c r="L32" s="8">
        <v>902.79</v>
      </c>
      <c r="M32" s="8">
        <v>300.93</v>
      </c>
      <c r="N32" s="8">
        <v>475.43</v>
      </c>
      <c r="O32" s="8">
        <v>0</v>
      </c>
      <c r="P32" s="6">
        <v>83</v>
      </c>
    </row>
    <row r="33" spans="1:16" x14ac:dyDescent="0.3">
      <c r="A33" s="7">
        <v>184</v>
      </c>
      <c r="B33" s="16">
        <v>276</v>
      </c>
      <c r="C33" s="5">
        <v>21</v>
      </c>
      <c r="D33" s="6">
        <v>24</v>
      </c>
      <c r="E33" s="8">
        <v>147.86000000000001</v>
      </c>
      <c r="F33" s="8">
        <v>82.14</v>
      </c>
      <c r="G33">
        <f t="shared" si="2"/>
        <v>1.8000973946919894</v>
      </c>
      <c r="H33" s="6">
        <v>14</v>
      </c>
      <c r="I33" s="9">
        <v>0.5</v>
      </c>
      <c r="J33" s="23">
        <v>0</v>
      </c>
      <c r="K33" s="6">
        <v>2.76</v>
      </c>
      <c r="L33" s="8">
        <v>601.86</v>
      </c>
      <c r="M33" s="8">
        <v>601.86</v>
      </c>
      <c r="N33" s="8">
        <v>475.43</v>
      </c>
      <c r="O33" s="8">
        <v>0</v>
      </c>
      <c r="P33" s="6">
        <v>84</v>
      </c>
    </row>
    <row r="34" spans="1:16" x14ac:dyDescent="0.3">
      <c r="A34" s="7">
        <v>184</v>
      </c>
      <c r="B34" s="16">
        <v>276</v>
      </c>
      <c r="C34" s="5">
        <v>21</v>
      </c>
      <c r="D34" s="6">
        <v>24</v>
      </c>
      <c r="E34" s="8">
        <v>147.86000000000001</v>
      </c>
      <c r="F34" s="8">
        <v>82.14</v>
      </c>
      <c r="G34">
        <f t="shared" si="2"/>
        <v>1.8000973946919894</v>
      </c>
      <c r="H34" s="6">
        <v>14</v>
      </c>
      <c r="I34" s="9">
        <v>0.5</v>
      </c>
      <c r="J34" s="23">
        <v>0</v>
      </c>
      <c r="K34" s="6">
        <v>2.76</v>
      </c>
      <c r="L34" s="8">
        <v>300.93</v>
      </c>
      <c r="M34" s="8">
        <v>902.79</v>
      </c>
      <c r="N34" s="8">
        <v>475.43</v>
      </c>
      <c r="O34" s="8">
        <v>0</v>
      </c>
      <c r="P34" s="6">
        <v>79.5</v>
      </c>
    </row>
    <row r="35" spans="1:16" x14ac:dyDescent="0.3">
      <c r="A35" s="12">
        <v>184</v>
      </c>
      <c r="B35" s="19">
        <v>276</v>
      </c>
      <c r="C35" s="5">
        <v>21</v>
      </c>
      <c r="D35" s="6">
        <v>24</v>
      </c>
      <c r="E35" s="8">
        <v>147.86000000000001</v>
      </c>
      <c r="F35" s="8">
        <v>82.14</v>
      </c>
      <c r="G35">
        <f t="shared" si="2"/>
        <v>1.8000973946919894</v>
      </c>
      <c r="H35" s="6">
        <v>14</v>
      </c>
      <c r="I35" s="9">
        <v>0.5</v>
      </c>
      <c r="J35" s="23">
        <v>0</v>
      </c>
      <c r="K35" s="6">
        <v>2.76</v>
      </c>
      <c r="L35" s="8">
        <v>0</v>
      </c>
      <c r="M35" s="8">
        <v>1203.72</v>
      </c>
      <c r="N35" s="8">
        <v>475.43</v>
      </c>
      <c r="O35" s="8">
        <v>0</v>
      </c>
      <c r="P35" s="6">
        <v>75</v>
      </c>
    </row>
    <row r="36" spans="1:16" x14ac:dyDescent="0.3">
      <c r="A36" s="23">
        <v>450</v>
      </c>
      <c r="B36" s="24">
        <v>0</v>
      </c>
      <c r="C36" s="23">
        <v>60</v>
      </c>
      <c r="D36" s="24">
        <v>48</v>
      </c>
      <c r="E36" s="23">
        <v>162</v>
      </c>
      <c r="F36" s="25">
        <v>108</v>
      </c>
      <c r="G36" s="26">
        <v>1.5</v>
      </c>
      <c r="H36" s="24">
        <v>8</v>
      </c>
      <c r="I36" s="27">
        <v>0.6</v>
      </c>
      <c r="J36" s="23">
        <v>0</v>
      </c>
      <c r="K36" s="24">
        <v>0</v>
      </c>
      <c r="L36" s="23">
        <v>0</v>
      </c>
      <c r="M36" s="25">
        <v>0</v>
      </c>
      <c r="N36" s="25">
        <v>500</v>
      </c>
      <c r="O36" s="26">
        <v>0</v>
      </c>
      <c r="P36" s="24">
        <v>40</v>
      </c>
    </row>
    <row r="37" spans="1:16" x14ac:dyDescent="0.3">
      <c r="A37" s="5">
        <v>450</v>
      </c>
      <c r="B37" s="6">
        <v>0</v>
      </c>
      <c r="C37" s="5">
        <v>60</v>
      </c>
      <c r="D37" s="6">
        <v>48</v>
      </c>
      <c r="E37" s="5">
        <v>162</v>
      </c>
      <c r="F37" s="8">
        <v>108</v>
      </c>
      <c r="G37">
        <v>1.5</v>
      </c>
      <c r="H37" s="6">
        <v>12</v>
      </c>
      <c r="I37" s="9">
        <v>0.6</v>
      </c>
      <c r="J37" s="5">
        <v>0</v>
      </c>
      <c r="K37" s="6">
        <v>0</v>
      </c>
      <c r="L37" s="5">
        <v>0</v>
      </c>
      <c r="M37" s="8">
        <v>0</v>
      </c>
      <c r="N37" s="8">
        <v>500</v>
      </c>
      <c r="O37">
        <v>0</v>
      </c>
      <c r="P37" s="6">
        <v>41.4</v>
      </c>
    </row>
    <row r="38" spans="1:16" x14ac:dyDescent="0.3">
      <c r="A38" s="5">
        <v>450</v>
      </c>
      <c r="B38" s="6">
        <v>0</v>
      </c>
      <c r="C38" s="5">
        <v>60</v>
      </c>
      <c r="D38" s="6">
        <v>48</v>
      </c>
      <c r="E38" s="5">
        <v>162</v>
      </c>
      <c r="F38" s="8">
        <v>108</v>
      </c>
      <c r="G38">
        <v>1.5</v>
      </c>
      <c r="H38" s="6">
        <v>16</v>
      </c>
      <c r="I38" s="9">
        <v>0.6</v>
      </c>
      <c r="J38" s="5">
        <v>0</v>
      </c>
      <c r="K38" s="6">
        <v>0</v>
      </c>
      <c r="L38" s="5">
        <v>0</v>
      </c>
      <c r="M38" s="8">
        <v>0</v>
      </c>
      <c r="N38" s="8">
        <v>500</v>
      </c>
      <c r="O38">
        <v>0</v>
      </c>
      <c r="P38" s="6">
        <v>38.4</v>
      </c>
    </row>
    <row r="39" spans="1:16" x14ac:dyDescent="0.3">
      <c r="A39" s="5">
        <v>450</v>
      </c>
      <c r="B39" s="6">
        <v>0</v>
      </c>
      <c r="C39" s="5">
        <v>60</v>
      </c>
      <c r="D39" s="6">
        <v>48</v>
      </c>
      <c r="E39" s="5">
        <v>162</v>
      </c>
      <c r="F39" s="8">
        <v>108</v>
      </c>
      <c r="G39">
        <v>1.5</v>
      </c>
      <c r="H39" s="6">
        <v>8</v>
      </c>
      <c r="I39" s="9">
        <v>0.6</v>
      </c>
      <c r="J39" s="5">
        <v>0</v>
      </c>
      <c r="K39" s="6">
        <v>0</v>
      </c>
      <c r="L39" s="5">
        <v>0</v>
      </c>
      <c r="M39" s="8">
        <v>1036</v>
      </c>
      <c r="N39" s="8">
        <v>500</v>
      </c>
      <c r="O39">
        <v>0</v>
      </c>
      <c r="P39" s="6">
        <v>30.6</v>
      </c>
    </row>
    <row r="40" spans="1:16" x14ac:dyDescent="0.3">
      <c r="A40" s="5">
        <v>450</v>
      </c>
      <c r="B40" s="6">
        <v>0</v>
      </c>
      <c r="C40" s="5">
        <v>60</v>
      </c>
      <c r="D40" s="6">
        <v>48</v>
      </c>
      <c r="E40" s="5">
        <v>162</v>
      </c>
      <c r="F40" s="8">
        <v>108</v>
      </c>
      <c r="G40">
        <v>1.5</v>
      </c>
      <c r="H40" s="6">
        <v>12</v>
      </c>
      <c r="I40" s="9">
        <v>0.6</v>
      </c>
      <c r="J40" s="5">
        <v>0</v>
      </c>
      <c r="K40" s="6">
        <v>0</v>
      </c>
      <c r="L40" s="5">
        <v>0</v>
      </c>
      <c r="M40" s="8">
        <v>1036</v>
      </c>
      <c r="N40" s="8">
        <v>500</v>
      </c>
      <c r="O40">
        <v>0</v>
      </c>
      <c r="P40" s="6">
        <v>38.4</v>
      </c>
    </row>
    <row r="41" spans="1:16" x14ac:dyDescent="0.3">
      <c r="A41" s="5">
        <v>450</v>
      </c>
      <c r="B41" s="6">
        <v>0</v>
      </c>
      <c r="C41" s="5">
        <v>60</v>
      </c>
      <c r="D41" s="6">
        <v>48</v>
      </c>
      <c r="E41" s="5">
        <v>162</v>
      </c>
      <c r="F41" s="8">
        <v>108</v>
      </c>
      <c r="G41">
        <v>1.5</v>
      </c>
      <c r="H41" s="6">
        <v>16</v>
      </c>
      <c r="I41" s="9">
        <v>0.6</v>
      </c>
      <c r="J41" s="5">
        <v>0</v>
      </c>
      <c r="K41" s="6">
        <v>0</v>
      </c>
      <c r="L41" s="5">
        <v>0</v>
      </c>
      <c r="M41" s="8">
        <v>1036</v>
      </c>
      <c r="N41" s="8">
        <v>500</v>
      </c>
      <c r="O41">
        <v>0</v>
      </c>
      <c r="P41" s="6">
        <v>34.799999999999997</v>
      </c>
    </row>
    <row r="42" spans="1:16" x14ac:dyDescent="0.3">
      <c r="A42" s="28"/>
      <c r="B42" s="16"/>
      <c r="C42" s="5"/>
      <c r="D42" s="6"/>
      <c r="E42" s="8"/>
      <c r="F42" s="8"/>
      <c r="H42" s="6"/>
      <c r="I42" s="8"/>
      <c r="J42" s="7"/>
      <c r="K42" s="8"/>
      <c r="L42" s="8"/>
      <c r="M42" s="8"/>
      <c r="N42" s="8"/>
      <c r="O42" s="8"/>
    </row>
    <row r="43" spans="1:16" x14ac:dyDescent="0.3">
      <c r="A43" s="8">
        <v>428</v>
      </c>
      <c r="B43" s="16">
        <v>0</v>
      </c>
      <c r="C43" s="5">
        <v>60</v>
      </c>
      <c r="D43" s="6">
        <v>28</v>
      </c>
      <c r="E43" s="8">
        <v>123</v>
      </c>
      <c r="F43" s="8">
        <v>49</v>
      </c>
      <c r="G43">
        <v>2.5</v>
      </c>
      <c r="H43" s="6">
        <v>12</v>
      </c>
      <c r="I43" s="8">
        <v>0.4</v>
      </c>
      <c r="J43" s="7">
        <v>0</v>
      </c>
      <c r="K43" s="8">
        <v>0</v>
      </c>
      <c r="L43" s="8">
        <v>0</v>
      </c>
      <c r="M43" s="8">
        <v>1260</v>
      </c>
      <c r="N43" s="8">
        <v>540</v>
      </c>
      <c r="O43" s="8">
        <v>0</v>
      </c>
      <c r="P43" t="s">
        <v>16</v>
      </c>
    </row>
    <row r="44" spans="1:16" x14ac:dyDescent="0.3">
      <c r="A44" s="8">
        <v>414</v>
      </c>
      <c r="B44" s="16">
        <v>0</v>
      </c>
      <c r="C44" s="5">
        <v>60</v>
      </c>
      <c r="D44" s="6">
        <v>28</v>
      </c>
      <c r="E44" s="8">
        <v>133</v>
      </c>
      <c r="F44" s="8">
        <v>53</v>
      </c>
      <c r="G44" s="8">
        <v>2.5</v>
      </c>
      <c r="H44" s="6">
        <v>12</v>
      </c>
      <c r="I44" s="8">
        <v>0.45</v>
      </c>
      <c r="J44" s="7">
        <v>0</v>
      </c>
      <c r="K44" s="8">
        <v>0</v>
      </c>
      <c r="L44" s="8">
        <v>0</v>
      </c>
      <c r="M44" s="8">
        <v>1260</v>
      </c>
      <c r="N44" s="8">
        <v>540</v>
      </c>
      <c r="O44" s="8">
        <v>0</v>
      </c>
    </row>
    <row r="45" spans="1:16" ht="15" thickBot="1" x14ac:dyDescent="0.35">
      <c r="A45" s="13">
        <v>400</v>
      </c>
      <c r="B45" s="19">
        <v>0</v>
      </c>
      <c r="C45" s="10">
        <v>60</v>
      </c>
      <c r="D45" s="11">
        <v>28</v>
      </c>
      <c r="E45" s="13">
        <v>143</v>
      </c>
      <c r="F45" s="13">
        <v>57</v>
      </c>
      <c r="G45" s="14">
        <v>2.5</v>
      </c>
      <c r="H45" s="11">
        <v>12</v>
      </c>
      <c r="I45" s="13">
        <v>0.5</v>
      </c>
      <c r="J45" s="12">
        <v>0</v>
      </c>
      <c r="K45" s="13">
        <v>0</v>
      </c>
      <c r="L45" s="13">
        <v>0</v>
      </c>
      <c r="M45" s="13">
        <v>1260</v>
      </c>
      <c r="N45" s="13">
        <v>540</v>
      </c>
      <c r="O45" s="14">
        <v>0</v>
      </c>
    </row>
    <row r="46" spans="1:16" x14ac:dyDescent="0.3">
      <c r="A46">
        <v>300</v>
      </c>
      <c r="B46" s="29">
        <v>100</v>
      </c>
      <c r="C46" s="5">
        <v>20</v>
      </c>
      <c r="D46" s="29">
        <v>24</v>
      </c>
      <c r="E46">
        <v>195</v>
      </c>
      <c r="F46">
        <v>78</v>
      </c>
      <c r="G46">
        <v>2.5</v>
      </c>
      <c r="H46" s="29">
        <v>12</v>
      </c>
      <c r="I46" s="30">
        <v>0.91</v>
      </c>
      <c r="J46">
        <v>74</v>
      </c>
      <c r="K46" s="29">
        <v>0</v>
      </c>
      <c r="L46" s="8">
        <v>0</v>
      </c>
      <c r="M46">
        <v>1225</v>
      </c>
      <c r="N46" s="8">
        <v>0</v>
      </c>
      <c r="O46">
        <v>525</v>
      </c>
      <c r="P46" s="37">
        <v>25.2</v>
      </c>
    </row>
    <row r="47" spans="1:16" x14ac:dyDescent="0.3">
      <c r="A47">
        <v>375</v>
      </c>
      <c r="B47" s="6">
        <v>125</v>
      </c>
      <c r="C47" s="5">
        <v>20</v>
      </c>
      <c r="D47" s="6">
        <v>24</v>
      </c>
      <c r="E47">
        <v>195</v>
      </c>
      <c r="F47">
        <v>78</v>
      </c>
      <c r="G47">
        <v>2.5</v>
      </c>
      <c r="H47" s="6">
        <v>12</v>
      </c>
      <c r="I47" s="9">
        <v>0.7</v>
      </c>
      <c r="J47">
        <v>69</v>
      </c>
      <c r="K47" s="6">
        <v>0</v>
      </c>
      <c r="L47" s="8">
        <v>0</v>
      </c>
      <c r="M47">
        <v>1155</v>
      </c>
      <c r="N47" s="8">
        <v>0</v>
      </c>
      <c r="O47">
        <v>495</v>
      </c>
      <c r="P47">
        <v>27.4</v>
      </c>
    </row>
    <row r="48" spans="1:16" x14ac:dyDescent="0.3">
      <c r="A48">
        <v>500</v>
      </c>
      <c r="B48" s="6">
        <v>167</v>
      </c>
      <c r="C48" s="5">
        <v>20</v>
      </c>
      <c r="D48" s="6">
        <v>24</v>
      </c>
      <c r="E48">
        <v>195</v>
      </c>
      <c r="F48">
        <v>78</v>
      </c>
      <c r="G48">
        <v>2.5</v>
      </c>
      <c r="H48" s="6">
        <v>12</v>
      </c>
      <c r="I48" s="9">
        <v>0.54</v>
      </c>
      <c r="J48">
        <v>62</v>
      </c>
      <c r="K48" s="6">
        <v>0</v>
      </c>
      <c r="L48" s="8">
        <v>0</v>
      </c>
      <c r="M48">
        <v>1038</v>
      </c>
      <c r="N48" s="8">
        <v>0</v>
      </c>
      <c r="O48">
        <v>445</v>
      </c>
      <c r="P48">
        <v>28.5</v>
      </c>
    </row>
    <row r="49" spans="1:16" x14ac:dyDescent="0.3">
      <c r="A49">
        <v>200</v>
      </c>
      <c r="B49" s="6">
        <v>200</v>
      </c>
      <c r="C49" s="5">
        <v>20</v>
      </c>
      <c r="D49" s="6">
        <v>24</v>
      </c>
      <c r="E49">
        <v>195</v>
      </c>
      <c r="F49">
        <v>78</v>
      </c>
      <c r="G49">
        <v>2.5</v>
      </c>
      <c r="H49" s="6">
        <v>12</v>
      </c>
      <c r="I49" s="9">
        <v>1.36</v>
      </c>
      <c r="J49">
        <v>74</v>
      </c>
      <c r="K49" s="6">
        <v>0</v>
      </c>
      <c r="L49" s="8">
        <v>0</v>
      </c>
      <c r="M49">
        <v>1225</v>
      </c>
      <c r="N49" s="8">
        <v>0</v>
      </c>
      <c r="O49">
        <v>525</v>
      </c>
      <c r="P49">
        <v>49.8</v>
      </c>
    </row>
    <row r="50" spans="1:16" x14ac:dyDescent="0.3">
      <c r="A50">
        <v>250</v>
      </c>
      <c r="B50" s="6">
        <v>250</v>
      </c>
      <c r="C50" s="5">
        <v>20</v>
      </c>
      <c r="D50" s="6">
        <v>24</v>
      </c>
      <c r="E50">
        <v>195</v>
      </c>
      <c r="F50">
        <v>78</v>
      </c>
      <c r="G50">
        <v>2.5</v>
      </c>
      <c r="H50" s="6">
        <v>12</v>
      </c>
      <c r="I50" s="9">
        <v>1.0900000000000001</v>
      </c>
      <c r="J50">
        <v>69</v>
      </c>
      <c r="K50" s="6">
        <v>0</v>
      </c>
      <c r="L50" s="8">
        <v>0</v>
      </c>
      <c r="M50">
        <v>1155</v>
      </c>
      <c r="N50" s="8">
        <v>0</v>
      </c>
      <c r="O50">
        <v>495</v>
      </c>
      <c r="P50">
        <v>58.1</v>
      </c>
    </row>
    <row r="51" spans="1:16" x14ac:dyDescent="0.3">
      <c r="A51">
        <v>333</v>
      </c>
      <c r="B51" s="6">
        <v>333</v>
      </c>
      <c r="C51" s="5">
        <v>20</v>
      </c>
      <c r="D51" s="6">
        <v>24</v>
      </c>
      <c r="E51">
        <v>195</v>
      </c>
      <c r="F51">
        <v>78</v>
      </c>
      <c r="G51">
        <v>2.5</v>
      </c>
      <c r="H51" s="6">
        <v>12</v>
      </c>
      <c r="I51" s="9">
        <v>0.81</v>
      </c>
      <c r="J51">
        <v>62</v>
      </c>
      <c r="K51" s="6">
        <v>0</v>
      </c>
      <c r="L51" s="8">
        <v>0</v>
      </c>
      <c r="M51">
        <v>1038</v>
      </c>
      <c r="N51" s="8">
        <v>0</v>
      </c>
      <c r="O51">
        <v>445</v>
      </c>
      <c r="P51">
        <v>61.3</v>
      </c>
    </row>
    <row r="52" spans="1:16" x14ac:dyDescent="0.3">
      <c r="A52">
        <v>100</v>
      </c>
      <c r="B52" s="6">
        <v>300</v>
      </c>
      <c r="C52" s="5">
        <v>20</v>
      </c>
      <c r="D52" s="6">
        <v>24</v>
      </c>
      <c r="E52">
        <v>195</v>
      </c>
      <c r="F52">
        <v>78</v>
      </c>
      <c r="G52">
        <v>2.5</v>
      </c>
      <c r="H52" s="6">
        <v>12</v>
      </c>
      <c r="I52" s="9">
        <v>2.73</v>
      </c>
      <c r="J52">
        <v>74</v>
      </c>
      <c r="K52" s="6">
        <v>0</v>
      </c>
      <c r="L52" s="8">
        <v>0</v>
      </c>
      <c r="M52">
        <v>1225</v>
      </c>
      <c r="N52" s="8">
        <v>0</v>
      </c>
      <c r="O52">
        <v>525</v>
      </c>
      <c r="P52">
        <v>65.2</v>
      </c>
    </row>
    <row r="53" spans="1:16" x14ac:dyDescent="0.3">
      <c r="A53">
        <v>125</v>
      </c>
      <c r="B53" s="6">
        <v>375</v>
      </c>
      <c r="C53" s="5">
        <v>20</v>
      </c>
      <c r="D53" s="6">
        <v>24</v>
      </c>
      <c r="E53">
        <v>195</v>
      </c>
      <c r="F53">
        <v>78</v>
      </c>
      <c r="G53">
        <v>2.5</v>
      </c>
      <c r="H53" s="6">
        <v>12</v>
      </c>
      <c r="I53" s="9">
        <v>2.1800000000000002</v>
      </c>
      <c r="J53">
        <v>69</v>
      </c>
      <c r="K53" s="6">
        <v>0</v>
      </c>
      <c r="L53" s="8">
        <v>0</v>
      </c>
      <c r="M53">
        <v>1155</v>
      </c>
      <c r="N53" s="8">
        <v>0</v>
      </c>
      <c r="O53">
        <v>495</v>
      </c>
      <c r="P53">
        <v>71.2</v>
      </c>
    </row>
    <row r="54" spans="1:16" x14ac:dyDescent="0.3">
      <c r="A54">
        <v>167</v>
      </c>
      <c r="B54" s="6">
        <v>500</v>
      </c>
      <c r="C54" s="5">
        <v>20</v>
      </c>
      <c r="D54" s="6">
        <v>24</v>
      </c>
      <c r="E54">
        <v>195</v>
      </c>
      <c r="F54">
        <v>78</v>
      </c>
      <c r="G54">
        <v>2.5</v>
      </c>
      <c r="H54" s="6">
        <v>12</v>
      </c>
      <c r="I54" s="9">
        <v>1.63</v>
      </c>
      <c r="J54">
        <v>62</v>
      </c>
      <c r="K54" s="6">
        <v>0</v>
      </c>
      <c r="L54" s="8">
        <v>0</v>
      </c>
      <c r="M54">
        <v>1038</v>
      </c>
      <c r="N54" s="8">
        <v>0</v>
      </c>
      <c r="O54">
        <v>445</v>
      </c>
      <c r="P54">
        <v>79.599999999999994</v>
      </c>
    </row>
    <row r="55" spans="1:16" x14ac:dyDescent="0.3">
      <c r="A55">
        <v>0</v>
      </c>
      <c r="B55" s="6">
        <v>0</v>
      </c>
      <c r="C55" s="5">
        <v>0</v>
      </c>
      <c r="D55" s="6">
        <v>0</v>
      </c>
      <c r="E55">
        <v>0</v>
      </c>
      <c r="F55">
        <v>0</v>
      </c>
      <c r="G55">
        <v>0</v>
      </c>
      <c r="H55" s="6">
        <v>0</v>
      </c>
      <c r="I55" s="9">
        <v>0</v>
      </c>
      <c r="J55">
        <v>0</v>
      </c>
      <c r="K55" s="6">
        <v>0</v>
      </c>
      <c r="L55">
        <v>1225</v>
      </c>
      <c r="M55">
        <v>0</v>
      </c>
      <c r="N55" s="8">
        <v>0</v>
      </c>
      <c r="O55">
        <v>525</v>
      </c>
      <c r="P55">
        <v>32.9</v>
      </c>
    </row>
    <row r="56" spans="1:16" ht="15" thickBot="1" x14ac:dyDescent="0.35">
      <c r="A56" s="31">
        <v>0</v>
      </c>
      <c r="B56" s="32">
        <v>0</v>
      </c>
      <c r="C56" s="31">
        <v>0</v>
      </c>
      <c r="D56" s="32">
        <v>0</v>
      </c>
      <c r="E56" s="31">
        <v>0</v>
      </c>
      <c r="F56" s="31">
        <v>0</v>
      </c>
      <c r="G56" s="31">
        <v>0</v>
      </c>
      <c r="H56" s="32">
        <v>0</v>
      </c>
      <c r="I56" s="33">
        <v>0</v>
      </c>
      <c r="J56" s="31">
        <v>74</v>
      </c>
      <c r="K56" s="32">
        <v>0</v>
      </c>
      <c r="L56" s="31">
        <v>0</v>
      </c>
      <c r="M56" s="31">
        <v>1225</v>
      </c>
      <c r="N56" s="31">
        <v>0</v>
      </c>
      <c r="O56" s="31">
        <v>525</v>
      </c>
      <c r="P56" s="31">
        <v>27.7</v>
      </c>
    </row>
    <row r="57" spans="1:16" x14ac:dyDescent="0.3">
      <c r="A57" s="34">
        <v>360</v>
      </c>
      <c r="B57" s="6">
        <v>40</v>
      </c>
      <c r="C57">
        <v>27</v>
      </c>
      <c r="D57" s="6">
        <v>0</v>
      </c>
      <c r="E57">
        <v>107</v>
      </c>
      <c r="F57">
        <v>53</v>
      </c>
      <c r="G57">
        <v>2</v>
      </c>
      <c r="H57" s="6">
        <v>10</v>
      </c>
      <c r="I57" s="9">
        <v>0.4</v>
      </c>
      <c r="J57">
        <v>0</v>
      </c>
      <c r="K57" s="6">
        <v>4</v>
      </c>
      <c r="L57">
        <v>39</v>
      </c>
      <c r="M57">
        <v>0</v>
      </c>
      <c r="N57">
        <v>644</v>
      </c>
      <c r="O57">
        <v>0</v>
      </c>
      <c r="P57" s="42">
        <v>29</v>
      </c>
    </row>
    <row r="58" spans="1:16" x14ac:dyDescent="0.3">
      <c r="A58">
        <v>349</v>
      </c>
      <c r="B58" s="6">
        <v>60</v>
      </c>
      <c r="C58">
        <v>27</v>
      </c>
      <c r="D58" s="6">
        <v>0</v>
      </c>
      <c r="E58">
        <v>107</v>
      </c>
      <c r="F58">
        <v>53</v>
      </c>
      <c r="G58">
        <v>2</v>
      </c>
      <c r="H58" s="6">
        <v>10</v>
      </c>
      <c r="I58" s="9">
        <v>0.4</v>
      </c>
      <c r="J58">
        <v>0</v>
      </c>
      <c r="K58" s="6">
        <v>4</v>
      </c>
      <c r="L58">
        <v>40</v>
      </c>
      <c r="M58">
        <v>0</v>
      </c>
      <c r="N58">
        <v>646</v>
      </c>
      <c r="O58">
        <v>0</v>
      </c>
      <c r="P58" s="42">
        <v>30</v>
      </c>
    </row>
    <row r="59" spans="1:16" x14ac:dyDescent="0.3">
      <c r="A59">
        <v>320</v>
      </c>
      <c r="B59" s="6">
        <v>80</v>
      </c>
      <c r="C59">
        <v>27</v>
      </c>
      <c r="D59" s="6">
        <v>0</v>
      </c>
      <c r="E59">
        <v>107</v>
      </c>
      <c r="F59">
        <v>53</v>
      </c>
      <c r="G59">
        <v>2</v>
      </c>
      <c r="H59" s="6">
        <v>10</v>
      </c>
      <c r="I59" s="9">
        <v>0.4</v>
      </c>
      <c r="J59">
        <v>0</v>
      </c>
      <c r="K59" s="6">
        <v>4</v>
      </c>
      <c r="L59">
        <v>40</v>
      </c>
      <c r="M59">
        <v>0</v>
      </c>
      <c r="N59">
        <v>648</v>
      </c>
      <c r="O59">
        <v>0</v>
      </c>
      <c r="P59" s="42">
        <v>40</v>
      </c>
    </row>
    <row r="60" spans="1:16" x14ac:dyDescent="0.3">
      <c r="A60">
        <v>300</v>
      </c>
      <c r="B60" s="6">
        <v>100</v>
      </c>
      <c r="C60">
        <v>27</v>
      </c>
      <c r="D60" s="6">
        <v>0</v>
      </c>
      <c r="E60">
        <v>107</v>
      </c>
      <c r="F60">
        <v>53</v>
      </c>
      <c r="G60">
        <v>2</v>
      </c>
      <c r="H60" s="6">
        <v>10</v>
      </c>
      <c r="I60" s="9">
        <v>0.4</v>
      </c>
      <c r="J60">
        <v>0</v>
      </c>
      <c r="K60" s="6">
        <v>4</v>
      </c>
      <c r="L60">
        <v>40</v>
      </c>
      <c r="M60">
        <v>0</v>
      </c>
      <c r="N60">
        <v>650</v>
      </c>
      <c r="O60">
        <v>0</v>
      </c>
      <c r="P60" s="42">
        <v>48</v>
      </c>
    </row>
    <row r="61" spans="1:16" x14ac:dyDescent="0.3">
      <c r="A61">
        <v>280</v>
      </c>
      <c r="B61" s="6">
        <v>120</v>
      </c>
      <c r="C61">
        <v>27</v>
      </c>
      <c r="D61" s="6">
        <v>0</v>
      </c>
      <c r="E61">
        <v>107</v>
      </c>
      <c r="F61">
        <v>53</v>
      </c>
      <c r="G61">
        <v>2</v>
      </c>
      <c r="H61" s="6">
        <v>10</v>
      </c>
      <c r="I61" s="9">
        <v>0.4</v>
      </c>
      <c r="J61">
        <v>0</v>
      </c>
      <c r="K61" s="6">
        <v>4</v>
      </c>
      <c r="L61">
        <v>40</v>
      </c>
      <c r="M61">
        <v>0</v>
      </c>
      <c r="N61">
        <v>652</v>
      </c>
      <c r="O61">
        <v>0</v>
      </c>
      <c r="P61" s="42">
        <v>56</v>
      </c>
    </row>
    <row r="62" spans="1:16" x14ac:dyDescent="0.3">
      <c r="A62">
        <v>340</v>
      </c>
      <c r="B62" s="6">
        <v>60</v>
      </c>
      <c r="C62">
        <v>27</v>
      </c>
      <c r="D62" s="6">
        <v>0</v>
      </c>
      <c r="E62">
        <v>107</v>
      </c>
      <c r="F62">
        <v>53</v>
      </c>
      <c r="G62">
        <v>2</v>
      </c>
      <c r="H62" s="6">
        <v>12</v>
      </c>
      <c r="I62" s="9">
        <v>0.4</v>
      </c>
      <c r="J62">
        <v>0</v>
      </c>
      <c r="K62" s="6">
        <v>4</v>
      </c>
      <c r="L62">
        <v>40</v>
      </c>
      <c r="M62">
        <v>0</v>
      </c>
      <c r="N62">
        <v>646</v>
      </c>
      <c r="O62">
        <v>0</v>
      </c>
      <c r="P62" s="42">
        <v>37</v>
      </c>
    </row>
    <row r="63" spans="1:16" x14ac:dyDescent="0.3">
      <c r="A63">
        <v>320</v>
      </c>
      <c r="B63" s="6">
        <v>80</v>
      </c>
      <c r="C63">
        <v>27</v>
      </c>
      <c r="D63" s="6">
        <v>0</v>
      </c>
      <c r="E63">
        <v>107</v>
      </c>
      <c r="F63">
        <v>53</v>
      </c>
      <c r="G63">
        <v>2</v>
      </c>
      <c r="H63" s="6">
        <v>12</v>
      </c>
      <c r="I63" s="9">
        <v>0.4</v>
      </c>
      <c r="J63">
        <v>0</v>
      </c>
      <c r="K63" s="6">
        <v>4</v>
      </c>
      <c r="L63">
        <v>40</v>
      </c>
      <c r="M63">
        <v>0</v>
      </c>
      <c r="N63">
        <v>648</v>
      </c>
      <c r="O63">
        <v>0</v>
      </c>
      <c r="P63" s="42">
        <v>44</v>
      </c>
    </row>
    <row r="64" spans="1:16" x14ac:dyDescent="0.3">
      <c r="A64">
        <v>300</v>
      </c>
      <c r="B64" s="6">
        <v>100</v>
      </c>
      <c r="C64">
        <v>27</v>
      </c>
      <c r="D64" s="6">
        <v>0</v>
      </c>
      <c r="E64">
        <v>107</v>
      </c>
      <c r="F64">
        <v>53</v>
      </c>
      <c r="G64">
        <v>2</v>
      </c>
      <c r="H64" s="6">
        <v>12</v>
      </c>
      <c r="I64" s="9">
        <v>0.4</v>
      </c>
      <c r="J64">
        <v>0</v>
      </c>
      <c r="K64" s="6">
        <v>4</v>
      </c>
      <c r="L64">
        <v>40</v>
      </c>
      <c r="M64">
        <v>0</v>
      </c>
      <c r="N64">
        <v>658</v>
      </c>
      <c r="O64">
        <v>0</v>
      </c>
      <c r="P64" s="42">
        <v>59</v>
      </c>
    </row>
    <row r="65" spans="1:16" x14ac:dyDescent="0.3">
      <c r="A65">
        <v>340</v>
      </c>
      <c r="B65" s="6">
        <v>60</v>
      </c>
      <c r="C65">
        <v>27</v>
      </c>
      <c r="D65" s="6">
        <v>0</v>
      </c>
      <c r="E65">
        <v>107</v>
      </c>
      <c r="F65">
        <v>53</v>
      </c>
      <c r="G65">
        <v>2</v>
      </c>
      <c r="H65" s="6">
        <v>10</v>
      </c>
      <c r="I65" s="9">
        <v>0.35</v>
      </c>
      <c r="J65">
        <v>0</v>
      </c>
      <c r="K65" s="6">
        <v>4</v>
      </c>
      <c r="L65">
        <v>40</v>
      </c>
      <c r="M65">
        <v>0</v>
      </c>
      <c r="N65">
        <v>651</v>
      </c>
      <c r="O65">
        <v>0</v>
      </c>
      <c r="P65" s="42">
        <v>30</v>
      </c>
    </row>
    <row r="66" spans="1:16" x14ac:dyDescent="0.3">
      <c r="A66">
        <v>320</v>
      </c>
      <c r="B66" s="6">
        <v>80</v>
      </c>
      <c r="C66">
        <v>27</v>
      </c>
      <c r="D66" s="6">
        <v>0</v>
      </c>
      <c r="E66">
        <v>107</v>
      </c>
      <c r="F66">
        <v>53</v>
      </c>
      <c r="G66">
        <v>2</v>
      </c>
      <c r="H66" s="6">
        <v>10</v>
      </c>
      <c r="I66" s="9">
        <v>0.35</v>
      </c>
      <c r="J66">
        <v>0</v>
      </c>
      <c r="K66" s="6">
        <v>4</v>
      </c>
      <c r="L66">
        <v>40</v>
      </c>
      <c r="M66">
        <v>0</v>
      </c>
      <c r="N66">
        <v>661</v>
      </c>
      <c r="O66">
        <v>0</v>
      </c>
      <c r="P66" s="42">
        <v>40</v>
      </c>
    </row>
    <row r="67" spans="1:16" x14ac:dyDescent="0.3">
      <c r="A67">
        <v>300</v>
      </c>
      <c r="B67" s="6">
        <v>100</v>
      </c>
      <c r="C67">
        <v>27</v>
      </c>
      <c r="D67" s="6">
        <v>0</v>
      </c>
      <c r="E67">
        <v>107</v>
      </c>
      <c r="F67">
        <v>53</v>
      </c>
      <c r="G67">
        <v>2</v>
      </c>
      <c r="H67" s="6">
        <v>10</v>
      </c>
      <c r="I67" s="9">
        <v>0.35</v>
      </c>
      <c r="J67">
        <v>0</v>
      </c>
      <c r="K67" s="6">
        <v>4</v>
      </c>
      <c r="L67">
        <v>41</v>
      </c>
      <c r="M67">
        <v>0</v>
      </c>
      <c r="N67">
        <v>671</v>
      </c>
      <c r="O67">
        <v>0</v>
      </c>
      <c r="P67" s="42">
        <v>48</v>
      </c>
    </row>
    <row r="68" spans="1:16" x14ac:dyDescent="0.3">
      <c r="A68">
        <v>340</v>
      </c>
      <c r="B68" s="6">
        <v>60</v>
      </c>
      <c r="C68">
        <v>27</v>
      </c>
      <c r="D68" s="6">
        <v>0</v>
      </c>
      <c r="E68">
        <v>107</v>
      </c>
      <c r="F68">
        <v>53</v>
      </c>
      <c r="G68">
        <v>1.5</v>
      </c>
      <c r="H68" s="6">
        <v>10</v>
      </c>
      <c r="I68" s="9">
        <v>0.4</v>
      </c>
      <c r="J68">
        <v>0</v>
      </c>
      <c r="K68" s="6">
        <v>4</v>
      </c>
      <c r="L68">
        <v>39</v>
      </c>
      <c r="M68">
        <v>0</v>
      </c>
      <c r="N68">
        <v>637</v>
      </c>
      <c r="O68">
        <v>0</v>
      </c>
      <c r="P68" s="42">
        <v>29</v>
      </c>
    </row>
    <row r="69" spans="1:16" ht="15" thickBot="1" x14ac:dyDescent="0.35">
      <c r="A69" s="31">
        <v>300</v>
      </c>
      <c r="B69" s="32">
        <v>100</v>
      </c>
      <c r="C69" s="31">
        <v>27</v>
      </c>
      <c r="D69" s="32">
        <v>0</v>
      </c>
      <c r="E69">
        <v>107</v>
      </c>
      <c r="F69">
        <v>53</v>
      </c>
      <c r="G69" s="31">
        <v>2.5</v>
      </c>
      <c r="H69" s="32">
        <v>10</v>
      </c>
      <c r="I69" s="33">
        <v>0.4</v>
      </c>
      <c r="J69" s="31">
        <v>0</v>
      </c>
      <c r="K69" s="32">
        <v>4</v>
      </c>
      <c r="L69" s="31">
        <v>40</v>
      </c>
      <c r="M69" s="31">
        <v>0</v>
      </c>
      <c r="N69" s="31">
        <v>659</v>
      </c>
      <c r="O69" s="31">
        <v>0</v>
      </c>
      <c r="P69" s="42">
        <v>57</v>
      </c>
    </row>
    <row r="70" spans="1:16" x14ac:dyDescent="0.3">
      <c r="A70">
        <v>350</v>
      </c>
      <c r="B70" s="6">
        <v>150</v>
      </c>
      <c r="C70">
        <v>27</v>
      </c>
      <c r="D70" s="6">
        <v>0</v>
      </c>
      <c r="E70">
        <v>120</v>
      </c>
      <c r="F70">
        <v>80</v>
      </c>
      <c r="G70">
        <v>1.5</v>
      </c>
      <c r="H70" s="6">
        <v>14</v>
      </c>
      <c r="I70" s="9">
        <v>0.4</v>
      </c>
      <c r="J70">
        <v>122</v>
      </c>
      <c r="K70" s="6">
        <v>7.5</v>
      </c>
      <c r="L70">
        <v>1007</v>
      </c>
      <c r="M70">
        <v>0</v>
      </c>
      <c r="N70">
        <v>628</v>
      </c>
      <c r="O70">
        <v>0</v>
      </c>
      <c r="P70">
        <v>66.23</v>
      </c>
    </row>
    <row r="71" spans="1:16" x14ac:dyDescent="0.3">
      <c r="A71">
        <v>280</v>
      </c>
      <c r="B71" s="6">
        <v>120</v>
      </c>
      <c r="C71">
        <v>27</v>
      </c>
      <c r="D71" s="6">
        <v>0</v>
      </c>
      <c r="E71">
        <v>120</v>
      </c>
      <c r="F71">
        <v>80</v>
      </c>
      <c r="G71">
        <v>1.5</v>
      </c>
      <c r="H71" s="6">
        <v>14</v>
      </c>
      <c r="I71" s="9">
        <v>0.5</v>
      </c>
      <c r="J71">
        <v>122</v>
      </c>
      <c r="K71" s="6">
        <v>4.8</v>
      </c>
      <c r="L71">
        <v>1091</v>
      </c>
      <c r="M71">
        <v>0</v>
      </c>
      <c r="N71">
        <v>680</v>
      </c>
      <c r="O71">
        <v>0</v>
      </c>
      <c r="P71">
        <v>56.42</v>
      </c>
    </row>
    <row r="72" spans="1:16" x14ac:dyDescent="0.3">
      <c r="A72">
        <v>233</v>
      </c>
      <c r="B72" s="6">
        <v>100</v>
      </c>
      <c r="C72">
        <v>27</v>
      </c>
      <c r="D72" s="6">
        <v>0</v>
      </c>
      <c r="E72">
        <v>120</v>
      </c>
      <c r="F72">
        <v>80</v>
      </c>
      <c r="G72">
        <v>1.5</v>
      </c>
      <c r="H72" s="6">
        <v>14</v>
      </c>
      <c r="I72" s="9">
        <v>0.6</v>
      </c>
      <c r="J72">
        <v>122</v>
      </c>
      <c r="K72" s="6">
        <v>2.5</v>
      </c>
      <c r="L72">
        <v>1129</v>
      </c>
      <c r="M72">
        <v>0</v>
      </c>
      <c r="N72">
        <v>704</v>
      </c>
      <c r="O72">
        <v>0</v>
      </c>
      <c r="P72">
        <v>49.58</v>
      </c>
    </row>
    <row r="73" spans="1:16" x14ac:dyDescent="0.3">
      <c r="A73">
        <v>200</v>
      </c>
      <c r="B73" s="6">
        <v>85</v>
      </c>
      <c r="C73">
        <v>27</v>
      </c>
      <c r="D73" s="6">
        <v>0</v>
      </c>
      <c r="E73">
        <v>120</v>
      </c>
      <c r="F73">
        <v>80</v>
      </c>
      <c r="G73">
        <v>1.5</v>
      </c>
      <c r="H73" s="6">
        <v>14</v>
      </c>
      <c r="I73" s="9">
        <v>0.7</v>
      </c>
      <c r="J73">
        <v>122</v>
      </c>
      <c r="K73" s="6">
        <v>0</v>
      </c>
      <c r="L73">
        <v>1163</v>
      </c>
      <c r="M73">
        <v>0</v>
      </c>
      <c r="N73">
        <v>726</v>
      </c>
      <c r="O73">
        <v>0</v>
      </c>
      <c r="P73">
        <v>39.6</v>
      </c>
    </row>
    <row r="74" spans="1:16" ht="15" thickBot="1" x14ac:dyDescent="0.35">
      <c r="A74" s="31">
        <v>175</v>
      </c>
      <c r="B74" s="32">
        <v>75</v>
      </c>
      <c r="C74" s="31">
        <v>27</v>
      </c>
      <c r="D74" s="32">
        <v>0</v>
      </c>
      <c r="E74" s="31">
        <v>120</v>
      </c>
      <c r="F74" s="31">
        <v>80</v>
      </c>
      <c r="G74" s="31">
        <v>1.5</v>
      </c>
      <c r="H74" s="32">
        <v>14</v>
      </c>
      <c r="I74" s="33">
        <v>0.8</v>
      </c>
      <c r="J74" s="31">
        <v>122</v>
      </c>
      <c r="K74" s="32">
        <v>0</v>
      </c>
      <c r="L74" s="31">
        <v>1190</v>
      </c>
      <c r="M74" s="31">
        <v>0</v>
      </c>
      <c r="N74" s="31">
        <v>742</v>
      </c>
      <c r="O74" s="31">
        <v>0</v>
      </c>
      <c r="P74" s="31">
        <v>32.729999999999997</v>
      </c>
    </row>
    <row r="75" spans="1:16" x14ac:dyDescent="0.3">
      <c r="A75" s="5">
        <v>0</v>
      </c>
      <c r="B75" s="8">
        <v>360</v>
      </c>
      <c r="C75" s="5">
        <v>20</v>
      </c>
      <c r="D75" s="6">
        <v>0</v>
      </c>
      <c r="E75" s="5">
        <v>52.06</v>
      </c>
      <c r="F75" s="8">
        <v>13.02</v>
      </c>
      <c r="G75">
        <v>4</v>
      </c>
      <c r="H75" s="6">
        <v>12</v>
      </c>
      <c r="I75" s="9">
        <v>0.2</v>
      </c>
      <c r="J75" s="5">
        <v>143.56</v>
      </c>
      <c r="K75" s="6">
        <v>0</v>
      </c>
      <c r="L75">
        <v>1197.42</v>
      </c>
      <c r="M75">
        <v>0</v>
      </c>
      <c r="N75" s="8">
        <v>798.28</v>
      </c>
      <c r="O75">
        <v>0</v>
      </c>
      <c r="P75" t="s">
        <v>16</v>
      </c>
    </row>
    <row r="76" spans="1:16" x14ac:dyDescent="0.3">
      <c r="A76" s="5">
        <v>0</v>
      </c>
      <c r="B76" s="8">
        <v>360</v>
      </c>
      <c r="C76" s="5">
        <v>20</v>
      </c>
      <c r="D76" s="6">
        <v>0</v>
      </c>
      <c r="E76" s="5">
        <v>52.06</v>
      </c>
      <c r="F76" s="8">
        <v>13.02</v>
      </c>
      <c r="G76">
        <v>4</v>
      </c>
      <c r="H76" s="6">
        <v>12</v>
      </c>
      <c r="I76" s="9">
        <v>0.2</v>
      </c>
      <c r="J76" s="5">
        <v>143.56</v>
      </c>
      <c r="K76" s="6">
        <v>0</v>
      </c>
      <c r="L76">
        <v>1149.31</v>
      </c>
      <c r="M76">
        <v>0</v>
      </c>
      <c r="N76" s="8">
        <v>383.11</v>
      </c>
      <c r="O76">
        <v>383.11</v>
      </c>
    </row>
    <row r="77" spans="1:16" ht="15" thickBot="1" x14ac:dyDescent="0.35">
      <c r="A77" s="10">
        <v>0</v>
      </c>
      <c r="B77" s="13">
        <v>360</v>
      </c>
      <c r="C77" s="10">
        <v>20</v>
      </c>
      <c r="D77" s="11">
        <v>0</v>
      </c>
      <c r="E77" s="10">
        <v>52.06</v>
      </c>
      <c r="F77" s="13">
        <v>13.02</v>
      </c>
      <c r="G77" s="14">
        <v>4</v>
      </c>
      <c r="H77" s="11">
        <v>12</v>
      </c>
      <c r="I77" s="15">
        <v>0.2</v>
      </c>
      <c r="J77" s="10">
        <v>143.56</v>
      </c>
      <c r="K77" s="11">
        <v>0</v>
      </c>
      <c r="L77" s="14">
        <v>1104.96</v>
      </c>
      <c r="M77" s="14">
        <v>0</v>
      </c>
      <c r="N77" s="13">
        <v>0</v>
      </c>
      <c r="O77" s="14">
        <v>736.64</v>
      </c>
    </row>
    <row r="78" spans="1:16" x14ac:dyDescent="0.3">
      <c r="A78">
        <v>420</v>
      </c>
      <c r="B78" s="6">
        <v>0</v>
      </c>
      <c r="C78">
        <v>60</v>
      </c>
      <c r="D78" s="35">
        <v>0</v>
      </c>
      <c r="E78">
        <v>91.8</v>
      </c>
      <c r="F78">
        <v>19.32</v>
      </c>
      <c r="G78">
        <v>4.75</v>
      </c>
      <c r="H78" s="35">
        <v>11.5</v>
      </c>
      <c r="I78" s="9">
        <v>0.36499999999999999</v>
      </c>
      <c r="J78">
        <v>42</v>
      </c>
      <c r="K78" s="6">
        <v>0</v>
      </c>
      <c r="L78">
        <v>1260.42</v>
      </c>
      <c r="M78">
        <v>0</v>
      </c>
      <c r="N78" s="8">
        <v>566.28</v>
      </c>
      <c r="O78">
        <v>0</v>
      </c>
      <c r="P78" s="38">
        <v>65.58</v>
      </c>
    </row>
    <row r="79" spans="1:16" x14ac:dyDescent="0.3">
      <c r="A79">
        <v>420</v>
      </c>
      <c r="B79" s="6">
        <v>0</v>
      </c>
      <c r="C79">
        <v>60</v>
      </c>
      <c r="D79" s="6">
        <v>0</v>
      </c>
      <c r="E79">
        <v>112</v>
      </c>
      <c r="F79">
        <v>19.64</v>
      </c>
      <c r="G79">
        <v>5.7</v>
      </c>
      <c r="H79" s="6">
        <v>13.5</v>
      </c>
      <c r="I79" s="9">
        <v>0.4</v>
      </c>
      <c r="J79">
        <v>36.36</v>
      </c>
      <c r="K79" s="6">
        <v>0</v>
      </c>
      <c r="L79">
        <v>1250.28</v>
      </c>
      <c r="M79">
        <v>0</v>
      </c>
      <c r="N79" s="8">
        <v>561.72</v>
      </c>
      <c r="O79">
        <v>0</v>
      </c>
      <c r="P79">
        <v>75.900000000000006</v>
      </c>
    </row>
    <row r="80" spans="1:16" x14ac:dyDescent="0.3">
      <c r="A80">
        <v>420</v>
      </c>
      <c r="B80" s="6">
        <v>0</v>
      </c>
      <c r="C80">
        <v>60</v>
      </c>
      <c r="D80" s="6">
        <v>0</v>
      </c>
      <c r="E80">
        <v>130.5</v>
      </c>
      <c r="F80">
        <v>19.98</v>
      </c>
      <c r="G80">
        <v>6.53</v>
      </c>
      <c r="H80" s="6">
        <v>15.5</v>
      </c>
      <c r="I80" s="9">
        <v>0.435</v>
      </c>
      <c r="J80">
        <v>32.22</v>
      </c>
      <c r="K80" s="6">
        <v>0</v>
      </c>
      <c r="L80">
        <v>1240.1400000000001</v>
      </c>
      <c r="M80">
        <v>0</v>
      </c>
      <c r="N80" s="8">
        <v>557.16</v>
      </c>
      <c r="O80">
        <v>0</v>
      </c>
      <c r="P80">
        <v>69.87</v>
      </c>
    </row>
    <row r="81" spans="1:16" x14ac:dyDescent="0.3">
      <c r="A81">
        <v>460</v>
      </c>
      <c r="B81" s="6">
        <v>0</v>
      </c>
      <c r="C81">
        <v>60</v>
      </c>
      <c r="D81" s="6">
        <v>0</v>
      </c>
      <c r="E81">
        <v>119.93</v>
      </c>
      <c r="F81">
        <v>16.82</v>
      </c>
      <c r="G81">
        <v>7.13</v>
      </c>
      <c r="H81" s="6">
        <v>13.5</v>
      </c>
      <c r="I81" s="9">
        <v>0.36499999999999999</v>
      </c>
      <c r="J81">
        <v>31.15</v>
      </c>
      <c r="K81" s="6">
        <v>0</v>
      </c>
      <c r="L81">
        <v>1222.75</v>
      </c>
      <c r="M81">
        <v>0</v>
      </c>
      <c r="N81" s="8">
        <v>549.35</v>
      </c>
      <c r="O81">
        <v>0</v>
      </c>
      <c r="P81">
        <v>62.23</v>
      </c>
    </row>
    <row r="82" spans="1:16" x14ac:dyDescent="0.3">
      <c r="A82">
        <v>460</v>
      </c>
      <c r="B82" s="6">
        <v>0</v>
      </c>
      <c r="C82">
        <v>60</v>
      </c>
      <c r="D82" s="6">
        <v>0</v>
      </c>
      <c r="E82">
        <v>110.4</v>
      </c>
      <c r="F82">
        <v>28.17</v>
      </c>
      <c r="G82">
        <v>3.91</v>
      </c>
      <c r="H82" s="6">
        <v>15.5</v>
      </c>
      <c r="I82" s="9">
        <v>0.4</v>
      </c>
      <c r="J82">
        <v>45.43</v>
      </c>
      <c r="K82" s="6">
        <v>0</v>
      </c>
      <c r="L82">
        <v>1211.6400000000001</v>
      </c>
      <c r="M82">
        <v>0</v>
      </c>
      <c r="N82" s="8">
        <v>544.36</v>
      </c>
      <c r="O82">
        <v>0</v>
      </c>
      <c r="P82">
        <v>92.86</v>
      </c>
    </row>
    <row r="83" spans="1:16" x14ac:dyDescent="0.3">
      <c r="A83">
        <v>460</v>
      </c>
      <c r="B83" s="6">
        <v>0</v>
      </c>
      <c r="C83">
        <v>60</v>
      </c>
      <c r="D83" s="6">
        <v>0</v>
      </c>
      <c r="E83">
        <v>133.4</v>
      </c>
      <c r="F83">
        <v>20.94</v>
      </c>
      <c r="G83">
        <v>6.37</v>
      </c>
      <c r="H83" s="6">
        <v>11.5</v>
      </c>
      <c r="I83" s="9">
        <v>0.435</v>
      </c>
      <c r="J83">
        <v>45.76</v>
      </c>
      <c r="K83" s="6">
        <v>0</v>
      </c>
      <c r="L83">
        <v>1200.53</v>
      </c>
      <c r="M83">
        <v>0</v>
      </c>
      <c r="N83" s="8">
        <v>539.37</v>
      </c>
      <c r="O83">
        <v>0</v>
      </c>
      <c r="P83">
        <v>56.8</v>
      </c>
    </row>
    <row r="84" spans="1:16" x14ac:dyDescent="0.3">
      <c r="A84">
        <v>500</v>
      </c>
      <c r="B84" s="6">
        <v>0</v>
      </c>
      <c r="C84">
        <v>60</v>
      </c>
      <c r="D84" s="6">
        <v>0</v>
      </c>
      <c r="E84">
        <v>121.67</v>
      </c>
      <c r="F84">
        <v>23.28</v>
      </c>
      <c r="G84">
        <v>5.22</v>
      </c>
      <c r="H84" s="6">
        <v>15.5</v>
      </c>
      <c r="I84" s="9">
        <v>0.36499999999999999</v>
      </c>
      <c r="J84">
        <v>37.549999999999997</v>
      </c>
      <c r="K84" s="6">
        <v>0</v>
      </c>
      <c r="L84">
        <v>1185.08</v>
      </c>
      <c r="M84">
        <v>0</v>
      </c>
      <c r="N84" s="8">
        <v>532.42999999999995</v>
      </c>
      <c r="O84">
        <v>0</v>
      </c>
      <c r="P84">
        <v>79.83</v>
      </c>
    </row>
    <row r="85" spans="1:16" x14ac:dyDescent="0.3">
      <c r="A85">
        <v>500</v>
      </c>
      <c r="B85" s="6">
        <v>0</v>
      </c>
      <c r="C85">
        <v>60</v>
      </c>
      <c r="D85" s="6">
        <v>0</v>
      </c>
      <c r="E85">
        <v>142.86000000000001</v>
      </c>
      <c r="F85">
        <v>18</v>
      </c>
      <c r="G85">
        <v>7.93</v>
      </c>
      <c r="H85" s="6">
        <v>11.5</v>
      </c>
      <c r="I85" s="9">
        <v>0.4</v>
      </c>
      <c r="J85">
        <v>39.14</v>
      </c>
      <c r="K85" s="6">
        <v>0</v>
      </c>
      <c r="L85">
        <v>1173</v>
      </c>
      <c r="M85">
        <v>0</v>
      </c>
      <c r="N85" s="8">
        <v>527</v>
      </c>
      <c r="O85">
        <v>0</v>
      </c>
      <c r="P85">
        <v>58.51</v>
      </c>
    </row>
    <row r="86" spans="1:16" ht="15" thickBot="1" x14ac:dyDescent="0.35">
      <c r="A86" s="36">
        <v>500</v>
      </c>
      <c r="B86" s="32">
        <v>0</v>
      </c>
      <c r="C86" s="31">
        <v>60</v>
      </c>
      <c r="D86" s="32">
        <v>0</v>
      </c>
      <c r="E86" s="31">
        <v>130.5</v>
      </c>
      <c r="F86" s="31">
        <v>30.51</v>
      </c>
      <c r="G86" s="31">
        <v>4.2699999999999996</v>
      </c>
      <c r="H86" s="32">
        <v>13.5</v>
      </c>
      <c r="I86" s="33">
        <v>0.435</v>
      </c>
      <c r="J86" s="31">
        <v>56.49</v>
      </c>
      <c r="K86" s="32">
        <v>0</v>
      </c>
      <c r="L86" s="31">
        <v>1160.93</v>
      </c>
      <c r="M86" s="31">
        <v>0</v>
      </c>
      <c r="N86" s="31">
        <v>521.58000000000004</v>
      </c>
      <c r="O86" s="31">
        <v>0</v>
      </c>
      <c r="P86" s="31">
        <v>86.6</v>
      </c>
    </row>
  </sheetData>
  <mergeCells count="1"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Asif</dc:creator>
  <cp:lastModifiedBy>Muhammad Asif</cp:lastModifiedBy>
  <dcterms:created xsi:type="dcterms:W3CDTF">2026-03-08T03:34:55Z</dcterms:created>
  <dcterms:modified xsi:type="dcterms:W3CDTF">2026-03-08T04:29:51Z</dcterms:modified>
</cp:coreProperties>
</file>