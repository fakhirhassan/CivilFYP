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<sst xmlns="http://schemas.openxmlformats.org/spreadsheetml/2006/main" count="16" uniqueCount="16">
  <si>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Flyash (kg/m3)</t>
  </si>
  <si>
    <t>GGBFS
(kg/m3)</t>
  </si>
  <si>
    <t xml:space="preserve">Curing Temperature (°C) </t>
  </si>
  <si>
    <t>curing time
hr</t>
  </si>
  <si>
    <r>
      <rPr>
        <b/>
        <sz val="10"/>
        <color rgb="FF000000"/>
        <rFont val="Times New Roman"/>
        <charset val="134"/>
      </rPr>
      <t>Na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SiO</t>
    </r>
    <r>
      <rPr>
        <b/>
        <vertAlign val="subscript"/>
        <sz val="10"/>
        <color rgb="FF000000"/>
        <rFont val="Times New Roman"/>
        <charset val="134"/>
      </rPr>
      <t xml:space="preserve">3
</t>
    </r>
    <r>
      <rPr>
        <b/>
        <sz val="10"/>
        <color rgb="FF000000"/>
        <rFont val="Times New Roman"/>
        <charset val="134"/>
      </rPr>
      <t>(kg/m3)</t>
    </r>
  </si>
  <si>
    <t>NaOH
(kg/m3)</t>
  </si>
  <si>
    <r>
      <rPr>
        <b/>
        <sz val="10"/>
        <color rgb="FF000000"/>
        <rFont val="Times New Roman"/>
        <charset val="134"/>
      </rPr>
      <t>Na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SiO</t>
    </r>
    <r>
      <rPr>
        <b/>
        <vertAlign val="subscript"/>
        <sz val="10"/>
        <color rgb="FF000000"/>
        <rFont val="Times New Roman"/>
        <charset val="134"/>
      </rPr>
      <t>3/ NaOH</t>
    </r>
  </si>
  <si>
    <t>Molarity of NaOH</t>
  </si>
  <si>
    <t xml:space="preserve">Alkaline Activator/ Binder Ratio </t>
  </si>
  <si>
    <t>Water</t>
  </si>
  <si>
    <t>SP</t>
  </si>
  <si>
    <t>NCA
(kg/m3)</t>
  </si>
  <si>
    <t>RCA
(kg/m3)</t>
  </si>
  <si>
    <t>Sand
(kg/m3)</t>
  </si>
  <si>
    <t>R-sand
(kg/m3)</t>
  </si>
  <si>
    <t>Compressive Strength (Mpa)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</si>
</sst>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0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vertAlign val="subscript"/>
      <sz val="10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5" applyNumberFormat="0" applyAlignment="0" applyProtection="0">
      <alignment vertical="center"/>
    </xf>
    <xf numFmtId="0" fontId="13" fillId="5" borderId="26" applyNumberFormat="0" applyAlignment="0" applyProtection="0">
      <alignment vertical="center"/>
    </xf>
    <xf numFmtId="0" fontId="14" fillId="5" borderId="25" applyNumberFormat="0" applyAlignment="0" applyProtection="0">
      <alignment vertical="center"/>
    </xf>
    <xf numFmtId="0" fontId="15" fillId="6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Fill="1" applyBorder="1"/>
    <xf numFmtId="0" fontId="0" fillId="0" borderId="20" xfId="0" applyBorder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1" xfId="0" applyBorder="1"/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5"/>
  <sheetViews>
    <sheetView tabSelected="1" zoomScale="81" zoomScaleNormal="81" topLeftCell="B1" workbookViewId="0">
      <selection activeCell="B28" sqref="$A28:$XFD29"/>
    </sheetView>
  </sheetViews>
  <sheetFormatPr defaultColWidth="9" defaultRowHeight="14"/>
  <cols>
    <col min="6" max="6" width="9.91666666666667" customWidth="1"/>
    <col min="7" max="7" width="12.6666666666667"/>
  </cols>
  <sheetData>
    <row r="1" ht="52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24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5" t="s">
        <v>15</v>
      </c>
      <c r="Q1" s="36"/>
      <c r="R1" s="37"/>
    </row>
    <row r="2" spans="1:16">
      <c r="A2" s="4">
        <v>420</v>
      </c>
      <c r="B2" s="5">
        <v>0</v>
      </c>
      <c r="C2" s="4">
        <v>75</v>
      </c>
      <c r="D2" s="5">
        <v>24</v>
      </c>
      <c r="E2" s="6">
        <v>165</v>
      </c>
      <c r="F2" s="7">
        <v>66</v>
      </c>
      <c r="G2">
        <f>E2/F2</f>
        <v>2.5</v>
      </c>
      <c r="H2" s="5">
        <v>14</v>
      </c>
      <c r="I2" s="26">
        <f t="shared" ref="I2:I13" si="0">(E2+F2)/(A2+B2)</f>
        <v>0.55</v>
      </c>
      <c r="J2" s="4">
        <v>0</v>
      </c>
      <c r="K2" s="5">
        <v>0</v>
      </c>
      <c r="L2" s="7">
        <v>1220</v>
      </c>
      <c r="M2" s="7">
        <v>0</v>
      </c>
      <c r="N2" s="7">
        <v>550</v>
      </c>
      <c r="O2" s="7">
        <v>0</v>
      </c>
      <c r="P2" s="7">
        <v>26.1</v>
      </c>
    </row>
    <row r="3" spans="1:16">
      <c r="A3" s="4">
        <v>378</v>
      </c>
      <c r="B3" s="5">
        <v>42</v>
      </c>
      <c r="C3" s="4">
        <v>75</v>
      </c>
      <c r="D3" s="5">
        <v>24</v>
      </c>
      <c r="E3" s="6">
        <v>165</v>
      </c>
      <c r="F3" s="7">
        <v>66</v>
      </c>
      <c r="G3">
        <f t="shared" ref="G3:G13" si="1">E3/F3</f>
        <v>2.5</v>
      </c>
      <c r="H3" s="5">
        <v>14</v>
      </c>
      <c r="I3" s="26">
        <f t="shared" si="0"/>
        <v>0.55</v>
      </c>
      <c r="J3" s="4">
        <v>0</v>
      </c>
      <c r="K3" s="5">
        <v>0</v>
      </c>
      <c r="L3" s="7">
        <v>1220</v>
      </c>
      <c r="M3" s="7">
        <v>0</v>
      </c>
      <c r="N3" s="7">
        <v>550</v>
      </c>
      <c r="O3" s="7">
        <v>0</v>
      </c>
      <c r="P3" s="7">
        <v>43.5</v>
      </c>
    </row>
    <row r="4" spans="1:16">
      <c r="A4" s="4">
        <v>336</v>
      </c>
      <c r="B4" s="5">
        <v>84</v>
      </c>
      <c r="C4" s="4">
        <v>75</v>
      </c>
      <c r="D4" s="5">
        <v>24</v>
      </c>
      <c r="E4" s="6">
        <v>165</v>
      </c>
      <c r="F4" s="7">
        <v>66</v>
      </c>
      <c r="G4">
        <f t="shared" si="1"/>
        <v>2.5</v>
      </c>
      <c r="H4" s="5">
        <v>14</v>
      </c>
      <c r="I4" s="26">
        <f t="shared" si="0"/>
        <v>0.55</v>
      </c>
      <c r="J4" s="4">
        <v>0</v>
      </c>
      <c r="K4" s="5">
        <v>0</v>
      </c>
      <c r="L4" s="7">
        <v>1220</v>
      </c>
      <c r="M4" s="7">
        <v>0</v>
      </c>
      <c r="N4" s="7">
        <v>550</v>
      </c>
      <c r="O4" s="7">
        <v>0</v>
      </c>
      <c r="P4" s="7">
        <v>47</v>
      </c>
    </row>
    <row r="5" spans="1:16">
      <c r="A5" s="4">
        <v>294</v>
      </c>
      <c r="B5" s="5">
        <v>126</v>
      </c>
      <c r="C5" s="4">
        <v>75</v>
      </c>
      <c r="D5" s="5">
        <v>24</v>
      </c>
      <c r="E5" s="6">
        <v>165</v>
      </c>
      <c r="F5" s="7">
        <v>66</v>
      </c>
      <c r="G5">
        <f t="shared" si="1"/>
        <v>2.5</v>
      </c>
      <c r="H5" s="5">
        <v>14</v>
      </c>
      <c r="I5" s="26">
        <f t="shared" si="0"/>
        <v>0.55</v>
      </c>
      <c r="J5" s="4">
        <v>0</v>
      </c>
      <c r="K5" s="5">
        <v>0</v>
      </c>
      <c r="L5" s="7">
        <v>1220</v>
      </c>
      <c r="M5" s="7">
        <v>0</v>
      </c>
      <c r="N5" s="7">
        <v>550</v>
      </c>
      <c r="O5" s="7">
        <v>0</v>
      </c>
      <c r="P5" s="7">
        <v>52.3</v>
      </c>
    </row>
    <row r="6" spans="1:16">
      <c r="A6" s="4">
        <v>420</v>
      </c>
      <c r="B6" s="5">
        <v>0</v>
      </c>
      <c r="C6" s="4">
        <v>75</v>
      </c>
      <c r="D6" s="5">
        <v>24</v>
      </c>
      <c r="E6" s="6">
        <v>165</v>
      </c>
      <c r="F6" s="7">
        <v>66</v>
      </c>
      <c r="G6">
        <f t="shared" si="1"/>
        <v>2.5</v>
      </c>
      <c r="H6" s="5">
        <v>14</v>
      </c>
      <c r="I6" s="26">
        <f t="shared" si="0"/>
        <v>0.55</v>
      </c>
      <c r="J6" s="4">
        <v>0</v>
      </c>
      <c r="K6" s="5">
        <v>0</v>
      </c>
      <c r="L6" s="7">
        <v>610</v>
      </c>
      <c r="M6" s="7">
        <v>610</v>
      </c>
      <c r="N6" s="7">
        <v>550</v>
      </c>
      <c r="O6" s="7">
        <v>0</v>
      </c>
      <c r="P6" s="7">
        <v>14</v>
      </c>
    </row>
    <row r="7" spans="1:16">
      <c r="A7" s="4">
        <v>378</v>
      </c>
      <c r="B7" s="5">
        <v>42</v>
      </c>
      <c r="C7" s="4">
        <v>75</v>
      </c>
      <c r="D7" s="5">
        <v>24</v>
      </c>
      <c r="E7" s="6">
        <v>165</v>
      </c>
      <c r="F7" s="7">
        <v>66</v>
      </c>
      <c r="G7">
        <f t="shared" si="1"/>
        <v>2.5</v>
      </c>
      <c r="H7" s="5">
        <v>14</v>
      </c>
      <c r="I7" s="26">
        <f t="shared" si="0"/>
        <v>0.55</v>
      </c>
      <c r="J7" s="4">
        <v>0</v>
      </c>
      <c r="K7" s="5">
        <v>0</v>
      </c>
      <c r="L7" s="7">
        <v>610</v>
      </c>
      <c r="M7" s="7">
        <v>610</v>
      </c>
      <c r="N7" s="7">
        <v>550</v>
      </c>
      <c r="O7" s="7">
        <v>0</v>
      </c>
      <c r="P7" s="7">
        <v>31.9</v>
      </c>
    </row>
    <row r="8" spans="1:16">
      <c r="A8" s="4">
        <v>336</v>
      </c>
      <c r="B8" s="5">
        <v>84</v>
      </c>
      <c r="C8" s="4">
        <v>75</v>
      </c>
      <c r="D8" s="5">
        <v>24</v>
      </c>
      <c r="E8" s="6">
        <v>165</v>
      </c>
      <c r="F8" s="7">
        <v>66</v>
      </c>
      <c r="G8">
        <f t="shared" si="1"/>
        <v>2.5</v>
      </c>
      <c r="H8" s="5">
        <v>14</v>
      </c>
      <c r="I8" s="26">
        <f t="shared" si="0"/>
        <v>0.55</v>
      </c>
      <c r="J8" s="4">
        <v>0</v>
      </c>
      <c r="K8" s="5">
        <v>0</v>
      </c>
      <c r="L8" s="7">
        <v>610</v>
      </c>
      <c r="M8" s="7">
        <v>610</v>
      </c>
      <c r="N8" s="7">
        <v>550</v>
      </c>
      <c r="O8" s="7">
        <v>0</v>
      </c>
      <c r="P8" s="7">
        <v>35.6</v>
      </c>
    </row>
    <row r="9" spans="1:16">
      <c r="A9" s="4">
        <v>294</v>
      </c>
      <c r="B9" s="5">
        <v>126</v>
      </c>
      <c r="C9" s="4">
        <v>75</v>
      </c>
      <c r="D9" s="5">
        <v>24</v>
      </c>
      <c r="E9" s="6">
        <v>165</v>
      </c>
      <c r="F9" s="7">
        <v>66</v>
      </c>
      <c r="G9">
        <f t="shared" si="1"/>
        <v>2.5</v>
      </c>
      <c r="H9" s="5">
        <v>14</v>
      </c>
      <c r="I9" s="26">
        <f t="shared" si="0"/>
        <v>0.55</v>
      </c>
      <c r="J9" s="4">
        <v>0</v>
      </c>
      <c r="K9" s="5">
        <v>0</v>
      </c>
      <c r="L9" s="7">
        <v>610</v>
      </c>
      <c r="M9" s="7">
        <v>610</v>
      </c>
      <c r="N9" s="7">
        <v>550</v>
      </c>
      <c r="O9" s="7">
        <v>0</v>
      </c>
      <c r="P9" s="7">
        <v>43</v>
      </c>
    </row>
    <row r="10" spans="1:16">
      <c r="A10" s="4">
        <v>420</v>
      </c>
      <c r="B10" s="5">
        <v>0</v>
      </c>
      <c r="C10" s="4">
        <v>75</v>
      </c>
      <c r="D10" s="5">
        <v>24</v>
      </c>
      <c r="E10" s="6">
        <v>165</v>
      </c>
      <c r="F10" s="7">
        <v>66</v>
      </c>
      <c r="G10">
        <f t="shared" si="1"/>
        <v>2.5</v>
      </c>
      <c r="H10" s="5">
        <v>14</v>
      </c>
      <c r="I10" s="26">
        <f t="shared" si="0"/>
        <v>0.55</v>
      </c>
      <c r="J10" s="4">
        <v>0</v>
      </c>
      <c r="K10" s="5">
        <v>0</v>
      </c>
      <c r="L10" s="7">
        <v>0</v>
      </c>
      <c r="M10" s="7">
        <v>1220</v>
      </c>
      <c r="N10" s="7">
        <v>550</v>
      </c>
      <c r="O10" s="7">
        <v>0</v>
      </c>
      <c r="P10" s="7">
        <v>13.7</v>
      </c>
    </row>
    <row r="11" spans="1:16">
      <c r="A11" s="4">
        <v>378</v>
      </c>
      <c r="B11" s="5">
        <v>42</v>
      </c>
      <c r="C11" s="4">
        <v>75</v>
      </c>
      <c r="D11" s="5">
        <v>24</v>
      </c>
      <c r="E11" s="6">
        <v>165</v>
      </c>
      <c r="F11" s="7">
        <v>66</v>
      </c>
      <c r="G11">
        <f t="shared" si="1"/>
        <v>2.5</v>
      </c>
      <c r="H11" s="5">
        <v>14</v>
      </c>
      <c r="I11" s="26">
        <f t="shared" si="0"/>
        <v>0.55</v>
      </c>
      <c r="J11" s="4">
        <v>0</v>
      </c>
      <c r="K11" s="5">
        <v>0</v>
      </c>
      <c r="L11" s="7">
        <v>0</v>
      </c>
      <c r="M11" s="7">
        <v>1220</v>
      </c>
      <c r="N11" s="7">
        <v>550</v>
      </c>
      <c r="O11" s="7">
        <v>0</v>
      </c>
      <c r="P11" s="7">
        <v>27.5</v>
      </c>
    </row>
    <row r="12" spans="1:16">
      <c r="A12" s="4">
        <v>336</v>
      </c>
      <c r="B12" s="5">
        <v>84</v>
      </c>
      <c r="C12" s="4">
        <v>75</v>
      </c>
      <c r="D12" s="5">
        <v>24</v>
      </c>
      <c r="E12" s="6">
        <v>165</v>
      </c>
      <c r="F12" s="7">
        <v>66</v>
      </c>
      <c r="G12">
        <f t="shared" si="1"/>
        <v>2.5</v>
      </c>
      <c r="H12" s="5">
        <v>14</v>
      </c>
      <c r="I12" s="26">
        <f t="shared" si="0"/>
        <v>0.55</v>
      </c>
      <c r="J12" s="4">
        <v>0</v>
      </c>
      <c r="K12" s="5">
        <v>0</v>
      </c>
      <c r="L12" s="7">
        <v>0</v>
      </c>
      <c r="M12" s="7">
        <v>1220</v>
      </c>
      <c r="N12" s="7">
        <v>550</v>
      </c>
      <c r="O12" s="7">
        <v>0</v>
      </c>
      <c r="P12" s="7">
        <v>34.8</v>
      </c>
    </row>
    <row r="13" spans="1:16">
      <c r="A13" s="8">
        <v>294</v>
      </c>
      <c r="B13" s="9">
        <v>126</v>
      </c>
      <c r="C13" s="8">
        <v>75</v>
      </c>
      <c r="D13" s="9">
        <v>24</v>
      </c>
      <c r="E13" s="10">
        <v>165</v>
      </c>
      <c r="F13" s="11">
        <v>66</v>
      </c>
      <c r="G13" s="12">
        <f t="shared" si="1"/>
        <v>2.5</v>
      </c>
      <c r="H13" s="9">
        <v>14</v>
      </c>
      <c r="I13" s="27">
        <f t="shared" si="0"/>
        <v>0.55</v>
      </c>
      <c r="J13" s="4">
        <v>0</v>
      </c>
      <c r="K13" s="5">
        <v>0</v>
      </c>
      <c r="L13" s="11">
        <v>0</v>
      </c>
      <c r="M13" s="11">
        <v>1220</v>
      </c>
      <c r="N13" s="11">
        <v>550</v>
      </c>
      <c r="O13" s="11">
        <v>0</v>
      </c>
      <c r="P13" s="11">
        <v>38.1</v>
      </c>
    </row>
    <row r="14" spans="1:16">
      <c r="A14" s="6">
        <v>333</v>
      </c>
      <c r="B14" s="13">
        <v>333</v>
      </c>
      <c r="C14" s="4">
        <v>80</v>
      </c>
      <c r="D14" s="5">
        <v>24</v>
      </c>
      <c r="E14" s="6">
        <v>194</v>
      </c>
      <c r="F14" s="7">
        <v>78</v>
      </c>
      <c r="G14">
        <v>2.5</v>
      </c>
      <c r="H14" s="5">
        <v>12</v>
      </c>
      <c r="I14" s="28">
        <v>0.3</v>
      </c>
      <c r="J14" s="6">
        <v>62</v>
      </c>
      <c r="K14" s="5">
        <v>0</v>
      </c>
      <c r="L14" s="7">
        <v>0</v>
      </c>
      <c r="M14" s="7">
        <v>1038</v>
      </c>
      <c r="N14" s="7">
        <v>445</v>
      </c>
      <c r="O14" s="7">
        <v>0</v>
      </c>
      <c r="P14" s="7">
        <v>61.85</v>
      </c>
    </row>
    <row r="15" spans="1:16">
      <c r="A15" s="6">
        <v>250</v>
      </c>
      <c r="B15" s="13">
        <v>250</v>
      </c>
      <c r="C15" s="4">
        <v>80</v>
      </c>
      <c r="D15" s="5">
        <v>24</v>
      </c>
      <c r="E15" s="6">
        <v>194</v>
      </c>
      <c r="F15" s="7">
        <v>78</v>
      </c>
      <c r="G15">
        <v>2.5</v>
      </c>
      <c r="H15" s="5">
        <v>12</v>
      </c>
      <c r="I15" s="28">
        <v>0.4</v>
      </c>
      <c r="J15" s="6">
        <v>69</v>
      </c>
      <c r="K15" s="5">
        <v>0</v>
      </c>
      <c r="L15" s="7">
        <v>0</v>
      </c>
      <c r="M15" s="7">
        <v>1155</v>
      </c>
      <c r="N15" s="7">
        <v>495</v>
      </c>
      <c r="O15" s="7">
        <v>0</v>
      </c>
      <c r="P15" s="7">
        <v>43.75</v>
      </c>
    </row>
    <row r="16" spans="1:16">
      <c r="A16" s="10">
        <v>200</v>
      </c>
      <c r="B16" s="14">
        <v>200</v>
      </c>
      <c r="C16" s="8">
        <v>80</v>
      </c>
      <c r="D16" s="9">
        <v>24</v>
      </c>
      <c r="E16" s="10">
        <v>194</v>
      </c>
      <c r="F16" s="11">
        <v>78</v>
      </c>
      <c r="G16" s="12">
        <v>2.5</v>
      </c>
      <c r="H16" s="9">
        <v>12</v>
      </c>
      <c r="I16" s="29">
        <v>0.5</v>
      </c>
      <c r="J16" s="10">
        <v>74</v>
      </c>
      <c r="K16" s="5">
        <v>0</v>
      </c>
      <c r="L16" s="11">
        <v>0</v>
      </c>
      <c r="M16" s="11">
        <v>1225</v>
      </c>
      <c r="N16" s="11">
        <v>525</v>
      </c>
      <c r="O16" s="7">
        <v>0</v>
      </c>
      <c r="P16" s="7">
        <v>40.94</v>
      </c>
    </row>
    <row r="17" spans="1:16">
      <c r="A17" s="6">
        <v>184</v>
      </c>
      <c r="B17" s="13">
        <v>276</v>
      </c>
      <c r="C17" s="4">
        <v>21</v>
      </c>
      <c r="D17" s="5">
        <v>24</v>
      </c>
      <c r="E17" s="7">
        <v>147.86</v>
      </c>
      <c r="F17" s="7">
        <v>82.14</v>
      </c>
      <c r="G17">
        <f>147.86/82.14</f>
        <v>1.80009739469199</v>
      </c>
      <c r="H17" s="5">
        <v>14</v>
      </c>
      <c r="I17" s="26">
        <v>0.5</v>
      </c>
      <c r="J17" s="15">
        <v>0</v>
      </c>
      <c r="K17" s="5">
        <v>2.76</v>
      </c>
      <c r="L17" s="7">
        <v>1203.72</v>
      </c>
      <c r="M17" s="7">
        <v>0</v>
      </c>
      <c r="N17" s="7">
        <v>475.43</v>
      </c>
      <c r="O17" s="7">
        <v>0</v>
      </c>
      <c r="P17" s="5">
        <v>82.5</v>
      </c>
    </row>
    <row r="18" spans="1:16">
      <c r="A18" s="6">
        <v>184</v>
      </c>
      <c r="B18" s="13">
        <v>276</v>
      </c>
      <c r="C18" s="4">
        <v>21</v>
      </c>
      <c r="D18" s="5">
        <v>24</v>
      </c>
      <c r="E18" s="7">
        <v>147.86</v>
      </c>
      <c r="F18" s="7">
        <v>82.14</v>
      </c>
      <c r="G18">
        <f>147.86/82.14</f>
        <v>1.80009739469199</v>
      </c>
      <c r="H18" s="5">
        <v>14</v>
      </c>
      <c r="I18" s="26">
        <v>0.5</v>
      </c>
      <c r="J18" s="15">
        <v>0</v>
      </c>
      <c r="K18" s="5">
        <v>2.76</v>
      </c>
      <c r="L18" s="7">
        <v>902.79</v>
      </c>
      <c r="M18" s="7">
        <v>300.93</v>
      </c>
      <c r="N18" s="7">
        <v>475.43</v>
      </c>
      <c r="O18" s="7">
        <v>0</v>
      </c>
      <c r="P18" s="5">
        <v>83</v>
      </c>
    </row>
    <row r="19" spans="1:16">
      <c r="A19" s="6">
        <v>184</v>
      </c>
      <c r="B19" s="13">
        <v>276</v>
      </c>
      <c r="C19" s="4">
        <v>21</v>
      </c>
      <c r="D19" s="5">
        <v>24</v>
      </c>
      <c r="E19" s="7">
        <v>147.86</v>
      </c>
      <c r="F19" s="7">
        <v>82.14</v>
      </c>
      <c r="G19">
        <f>147.86/82.14</f>
        <v>1.80009739469199</v>
      </c>
      <c r="H19" s="5">
        <v>14</v>
      </c>
      <c r="I19" s="26">
        <v>0.5</v>
      </c>
      <c r="J19" s="15">
        <v>0</v>
      </c>
      <c r="K19" s="5">
        <v>2.76</v>
      </c>
      <c r="L19" s="7">
        <v>601.86</v>
      </c>
      <c r="M19" s="7">
        <v>601.86</v>
      </c>
      <c r="N19" s="7">
        <v>475.43</v>
      </c>
      <c r="O19" s="7">
        <v>0</v>
      </c>
      <c r="P19" s="5">
        <v>84</v>
      </c>
    </row>
    <row r="20" spans="1:16">
      <c r="A20" s="6">
        <v>184</v>
      </c>
      <c r="B20" s="13">
        <v>276</v>
      </c>
      <c r="C20" s="4">
        <v>21</v>
      </c>
      <c r="D20" s="5">
        <v>24</v>
      </c>
      <c r="E20" s="7">
        <v>147.86</v>
      </c>
      <c r="F20" s="7">
        <v>82.14</v>
      </c>
      <c r="G20">
        <f>147.86/82.14</f>
        <v>1.80009739469199</v>
      </c>
      <c r="H20" s="5">
        <v>14</v>
      </c>
      <c r="I20" s="26">
        <v>0.5</v>
      </c>
      <c r="J20" s="15">
        <v>0</v>
      </c>
      <c r="K20" s="5">
        <v>2.76</v>
      </c>
      <c r="L20" s="7">
        <v>300.93</v>
      </c>
      <c r="M20" s="7">
        <v>902.79</v>
      </c>
      <c r="N20" s="7">
        <v>475.43</v>
      </c>
      <c r="O20" s="7">
        <v>0</v>
      </c>
      <c r="P20" s="5">
        <v>79.5</v>
      </c>
    </row>
    <row r="21" spans="1:16">
      <c r="A21" s="10">
        <v>184</v>
      </c>
      <c r="B21" s="14">
        <v>276</v>
      </c>
      <c r="C21" s="4">
        <v>21</v>
      </c>
      <c r="D21" s="5">
        <v>24</v>
      </c>
      <c r="E21" s="7">
        <v>147.86</v>
      </c>
      <c r="F21" s="7">
        <v>82.14</v>
      </c>
      <c r="G21">
        <f>147.86/82.14</f>
        <v>1.80009739469199</v>
      </c>
      <c r="H21" s="5">
        <v>14</v>
      </c>
      <c r="I21" s="26">
        <v>0.5</v>
      </c>
      <c r="J21" s="15">
        <v>0</v>
      </c>
      <c r="K21" s="5">
        <v>2.76</v>
      </c>
      <c r="L21" s="7">
        <v>0</v>
      </c>
      <c r="M21" s="7">
        <v>1203.72</v>
      </c>
      <c r="N21" s="7">
        <v>475.43</v>
      </c>
      <c r="O21" s="7">
        <v>0</v>
      </c>
      <c r="P21" s="5">
        <v>75</v>
      </c>
    </row>
    <row r="22" spans="1:16">
      <c r="A22" s="15">
        <v>450</v>
      </c>
      <c r="B22" s="16">
        <v>0</v>
      </c>
      <c r="C22" s="15">
        <v>60</v>
      </c>
      <c r="D22" s="16">
        <v>48</v>
      </c>
      <c r="E22" s="15">
        <v>162</v>
      </c>
      <c r="F22" s="17">
        <v>108</v>
      </c>
      <c r="G22" s="18">
        <v>1.5</v>
      </c>
      <c r="H22" s="16">
        <v>8</v>
      </c>
      <c r="I22" s="30">
        <v>0.6</v>
      </c>
      <c r="J22" s="15">
        <v>0</v>
      </c>
      <c r="K22" s="16">
        <v>0</v>
      </c>
      <c r="L22" s="15">
        <v>0</v>
      </c>
      <c r="M22" s="17">
        <v>0</v>
      </c>
      <c r="N22" s="17">
        <v>500</v>
      </c>
      <c r="O22" s="18">
        <v>0</v>
      </c>
      <c r="P22" s="16">
        <v>40</v>
      </c>
    </row>
    <row r="23" spans="1:16">
      <c r="A23" s="4">
        <v>450</v>
      </c>
      <c r="B23" s="5">
        <v>0</v>
      </c>
      <c r="C23" s="4">
        <v>60</v>
      </c>
      <c r="D23" s="5">
        <v>48</v>
      </c>
      <c r="E23" s="4">
        <v>162</v>
      </c>
      <c r="F23" s="7">
        <v>108</v>
      </c>
      <c r="G23">
        <v>1.5</v>
      </c>
      <c r="H23" s="5">
        <v>12</v>
      </c>
      <c r="I23" s="26">
        <v>0.6</v>
      </c>
      <c r="J23" s="4">
        <v>0</v>
      </c>
      <c r="K23" s="5">
        <v>0</v>
      </c>
      <c r="L23" s="4">
        <v>0</v>
      </c>
      <c r="M23" s="7">
        <v>0</v>
      </c>
      <c r="N23" s="7">
        <v>500</v>
      </c>
      <c r="O23">
        <v>0</v>
      </c>
      <c r="P23" s="5">
        <v>41.4</v>
      </c>
    </row>
    <row r="24" spans="1:16">
      <c r="A24" s="4">
        <v>450</v>
      </c>
      <c r="B24" s="5">
        <v>0</v>
      </c>
      <c r="C24" s="4">
        <v>60</v>
      </c>
      <c r="D24" s="5">
        <v>48</v>
      </c>
      <c r="E24" s="4">
        <v>162</v>
      </c>
      <c r="F24" s="7">
        <v>108</v>
      </c>
      <c r="G24">
        <v>1.5</v>
      </c>
      <c r="H24" s="5">
        <v>16</v>
      </c>
      <c r="I24" s="26">
        <v>0.6</v>
      </c>
      <c r="J24" s="4">
        <v>0</v>
      </c>
      <c r="K24" s="5">
        <v>0</v>
      </c>
      <c r="L24" s="4">
        <v>0</v>
      </c>
      <c r="M24" s="7">
        <v>0</v>
      </c>
      <c r="N24" s="7">
        <v>500</v>
      </c>
      <c r="O24">
        <v>0</v>
      </c>
      <c r="P24" s="5">
        <v>38.4</v>
      </c>
    </row>
    <row r="25" spans="1:16">
      <c r="A25" s="4">
        <v>450</v>
      </c>
      <c r="B25" s="5">
        <v>0</v>
      </c>
      <c r="C25" s="4">
        <v>60</v>
      </c>
      <c r="D25" s="5">
        <v>48</v>
      </c>
      <c r="E25" s="4">
        <v>162</v>
      </c>
      <c r="F25" s="7">
        <v>108</v>
      </c>
      <c r="G25">
        <v>1.5</v>
      </c>
      <c r="H25" s="5">
        <v>8</v>
      </c>
      <c r="I25" s="26">
        <v>0.6</v>
      </c>
      <c r="J25" s="4">
        <v>0</v>
      </c>
      <c r="K25" s="5">
        <v>0</v>
      </c>
      <c r="L25" s="4">
        <v>0</v>
      </c>
      <c r="M25" s="7">
        <v>1036</v>
      </c>
      <c r="N25" s="7">
        <v>500</v>
      </c>
      <c r="O25">
        <v>0</v>
      </c>
      <c r="P25" s="5">
        <v>30.6</v>
      </c>
    </row>
    <row r="26" spans="1:16">
      <c r="A26" s="4">
        <v>450</v>
      </c>
      <c r="B26" s="5">
        <v>0</v>
      </c>
      <c r="C26" s="4">
        <v>60</v>
      </c>
      <c r="D26" s="5">
        <v>48</v>
      </c>
      <c r="E26" s="4">
        <v>162</v>
      </c>
      <c r="F26" s="7">
        <v>108</v>
      </c>
      <c r="G26">
        <v>1.5</v>
      </c>
      <c r="H26" s="5">
        <v>12</v>
      </c>
      <c r="I26" s="26">
        <v>0.6</v>
      </c>
      <c r="J26" s="4">
        <v>0</v>
      </c>
      <c r="K26" s="5">
        <v>0</v>
      </c>
      <c r="L26" s="4">
        <v>0</v>
      </c>
      <c r="M26" s="7">
        <v>1036</v>
      </c>
      <c r="N26" s="7">
        <v>500</v>
      </c>
      <c r="O26">
        <v>0</v>
      </c>
      <c r="P26" s="5">
        <v>38.4</v>
      </c>
    </row>
    <row r="27" ht="14.75" spans="1:16">
      <c r="A27" s="4">
        <v>450</v>
      </c>
      <c r="B27" s="5">
        <v>0</v>
      </c>
      <c r="C27" s="4">
        <v>60</v>
      </c>
      <c r="D27" s="5">
        <v>48</v>
      </c>
      <c r="E27" s="4">
        <v>162</v>
      </c>
      <c r="F27" s="7">
        <v>108</v>
      </c>
      <c r="G27">
        <v>1.5</v>
      </c>
      <c r="H27" s="5">
        <v>16</v>
      </c>
      <c r="I27" s="26">
        <v>0.6</v>
      </c>
      <c r="J27" s="4">
        <v>0</v>
      </c>
      <c r="K27" s="5">
        <v>0</v>
      </c>
      <c r="L27" s="4">
        <v>0</v>
      </c>
      <c r="M27" s="7">
        <v>1036</v>
      </c>
      <c r="N27" s="7">
        <v>500</v>
      </c>
      <c r="O27">
        <v>0</v>
      </c>
      <c r="P27" s="5">
        <v>34.8</v>
      </c>
    </row>
    <row r="28" spans="1:16">
      <c r="A28">
        <v>300</v>
      </c>
      <c r="B28" s="19">
        <v>100</v>
      </c>
      <c r="C28" s="4">
        <v>20</v>
      </c>
      <c r="D28" s="19">
        <v>24</v>
      </c>
      <c r="E28">
        <v>195</v>
      </c>
      <c r="F28">
        <v>78</v>
      </c>
      <c r="G28">
        <v>2.5</v>
      </c>
      <c r="H28" s="19">
        <v>12</v>
      </c>
      <c r="I28" s="31">
        <v>0.91</v>
      </c>
      <c r="J28">
        <v>74</v>
      </c>
      <c r="K28" s="19">
        <v>0</v>
      </c>
      <c r="L28" s="7">
        <v>0</v>
      </c>
      <c r="M28">
        <v>1225</v>
      </c>
      <c r="N28" s="7">
        <v>0</v>
      </c>
      <c r="O28">
        <v>525</v>
      </c>
      <c r="P28" s="32">
        <v>25.2</v>
      </c>
    </row>
    <row r="29" spans="1:16">
      <c r="A29">
        <v>375</v>
      </c>
      <c r="B29" s="5">
        <v>125</v>
      </c>
      <c r="C29" s="4">
        <v>20</v>
      </c>
      <c r="D29" s="5">
        <v>24</v>
      </c>
      <c r="E29">
        <v>195</v>
      </c>
      <c r="F29">
        <v>78</v>
      </c>
      <c r="G29">
        <v>2.5</v>
      </c>
      <c r="H29" s="5">
        <v>12</v>
      </c>
      <c r="I29" s="26">
        <v>0.7</v>
      </c>
      <c r="J29">
        <v>69</v>
      </c>
      <c r="K29" s="5">
        <v>0</v>
      </c>
      <c r="L29" s="7">
        <v>0</v>
      </c>
      <c r="M29">
        <v>1155</v>
      </c>
      <c r="N29" s="7">
        <v>0</v>
      </c>
      <c r="O29">
        <v>495</v>
      </c>
      <c r="P29">
        <v>27.4</v>
      </c>
    </row>
    <row r="30" spans="1:16">
      <c r="A30">
        <v>500</v>
      </c>
      <c r="B30" s="5">
        <v>167</v>
      </c>
      <c r="C30" s="4">
        <v>20</v>
      </c>
      <c r="D30" s="5">
        <v>24</v>
      </c>
      <c r="E30">
        <v>195</v>
      </c>
      <c r="F30">
        <v>78</v>
      </c>
      <c r="G30">
        <v>2.5</v>
      </c>
      <c r="H30" s="5">
        <v>12</v>
      </c>
      <c r="I30" s="26">
        <v>0.54</v>
      </c>
      <c r="J30">
        <v>62</v>
      </c>
      <c r="K30" s="5">
        <v>0</v>
      </c>
      <c r="L30" s="7">
        <v>0</v>
      </c>
      <c r="M30">
        <v>1038</v>
      </c>
      <c r="N30" s="7">
        <v>0</v>
      </c>
      <c r="O30">
        <v>445</v>
      </c>
      <c r="P30">
        <v>28.5</v>
      </c>
    </row>
    <row r="31" spans="1:16">
      <c r="A31">
        <v>200</v>
      </c>
      <c r="B31" s="5">
        <v>200</v>
      </c>
      <c r="C31" s="4">
        <v>20</v>
      </c>
      <c r="D31" s="5">
        <v>24</v>
      </c>
      <c r="E31">
        <v>195</v>
      </c>
      <c r="F31">
        <v>78</v>
      </c>
      <c r="G31">
        <v>2.5</v>
      </c>
      <c r="H31" s="5">
        <v>12</v>
      </c>
      <c r="I31" s="26">
        <v>1.36</v>
      </c>
      <c r="J31">
        <v>74</v>
      </c>
      <c r="K31" s="5">
        <v>0</v>
      </c>
      <c r="L31" s="7">
        <v>0</v>
      </c>
      <c r="M31">
        <v>1225</v>
      </c>
      <c r="N31" s="7">
        <v>0</v>
      </c>
      <c r="O31">
        <v>525</v>
      </c>
      <c r="P31">
        <v>49.8</v>
      </c>
    </row>
    <row r="32" spans="1:16">
      <c r="A32">
        <v>250</v>
      </c>
      <c r="B32" s="5">
        <v>250</v>
      </c>
      <c r="C32" s="4">
        <v>20</v>
      </c>
      <c r="D32" s="5">
        <v>24</v>
      </c>
      <c r="E32">
        <v>195</v>
      </c>
      <c r="F32">
        <v>78</v>
      </c>
      <c r="G32">
        <v>2.5</v>
      </c>
      <c r="H32" s="5">
        <v>12</v>
      </c>
      <c r="I32" s="26">
        <v>1.09</v>
      </c>
      <c r="J32">
        <v>69</v>
      </c>
      <c r="K32" s="5">
        <v>0</v>
      </c>
      <c r="L32" s="7">
        <v>0</v>
      </c>
      <c r="M32">
        <v>1155</v>
      </c>
      <c r="N32" s="7">
        <v>0</v>
      </c>
      <c r="O32">
        <v>495</v>
      </c>
      <c r="P32">
        <v>58.1</v>
      </c>
    </row>
    <row r="33" spans="1:16">
      <c r="A33">
        <v>333</v>
      </c>
      <c r="B33" s="5">
        <v>333</v>
      </c>
      <c r="C33" s="4">
        <v>20</v>
      </c>
      <c r="D33" s="5">
        <v>24</v>
      </c>
      <c r="E33">
        <v>195</v>
      </c>
      <c r="F33">
        <v>78</v>
      </c>
      <c r="G33">
        <v>2.5</v>
      </c>
      <c r="H33" s="5">
        <v>12</v>
      </c>
      <c r="I33" s="26">
        <v>0.81</v>
      </c>
      <c r="J33">
        <v>62</v>
      </c>
      <c r="K33" s="5">
        <v>0</v>
      </c>
      <c r="L33" s="7">
        <v>0</v>
      </c>
      <c r="M33">
        <v>1038</v>
      </c>
      <c r="N33" s="7">
        <v>0</v>
      </c>
      <c r="O33">
        <v>445</v>
      </c>
      <c r="P33">
        <v>61.3</v>
      </c>
    </row>
    <row r="34" spans="1:16">
      <c r="A34">
        <v>100</v>
      </c>
      <c r="B34" s="5">
        <v>300</v>
      </c>
      <c r="C34" s="4">
        <v>20</v>
      </c>
      <c r="D34" s="5">
        <v>24</v>
      </c>
      <c r="E34">
        <v>195</v>
      </c>
      <c r="F34">
        <v>78</v>
      </c>
      <c r="G34">
        <v>2.5</v>
      </c>
      <c r="H34" s="5">
        <v>12</v>
      </c>
      <c r="I34" s="26">
        <v>2.73</v>
      </c>
      <c r="J34">
        <v>74</v>
      </c>
      <c r="K34" s="5">
        <v>0</v>
      </c>
      <c r="L34" s="7">
        <v>0</v>
      </c>
      <c r="M34">
        <v>1225</v>
      </c>
      <c r="N34" s="7">
        <v>0</v>
      </c>
      <c r="O34">
        <v>525</v>
      </c>
      <c r="P34">
        <v>65.2</v>
      </c>
    </row>
    <row r="35" spans="1:16">
      <c r="A35">
        <v>125</v>
      </c>
      <c r="B35" s="5">
        <v>375</v>
      </c>
      <c r="C35" s="4">
        <v>20</v>
      </c>
      <c r="D35" s="5">
        <v>24</v>
      </c>
      <c r="E35">
        <v>195</v>
      </c>
      <c r="F35">
        <v>78</v>
      </c>
      <c r="G35">
        <v>2.5</v>
      </c>
      <c r="H35" s="5">
        <v>12</v>
      </c>
      <c r="I35" s="26">
        <v>2.18</v>
      </c>
      <c r="J35">
        <v>69</v>
      </c>
      <c r="K35" s="5">
        <v>0</v>
      </c>
      <c r="L35" s="7">
        <v>0</v>
      </c>
      <c r="M35">
        <v>1155</v>
      </c>
      <c r="N35" s="7">
        <v>0</v>
      </c>
      <c r="O35">
        <v>495</v>
      </c>
      <c r="P35">
        <v>71.2</v>
      </c>
    </row>
    <row r="36" spans="1:16">
      <c r="A36">
        <v>167</v>
      </c>
      <c r="B36" s="5">
        <v>500</v>
      </c>
      <c r="C36" s="4">
        <v>20</v>
      </c>
      <c r="D36" s="5">
        <v>24</v>
      </c>
      <c r="E36">
        <v>195</v>
      </c>
      <c r="F36">
        <v>78</v>
      </c>
      <c r="G36">
        <v>2.5</v>
      </c>
      <c r="H36" s="5">
        <v>12</v>
      </c>
      <c r="I36" s="26">
        <v>1.63</v>
      </c>
      <c r="J36">
        <v>62</v>
      </c>
      <c r="K36" s="5">
        <v>0</v>
      </c>
      <c r="L36" s="7">
        <v>0</v>
      </c>
      <c r="M36">
        <v>1038</v>
      </c>
      <c r="N36" s="7">
        <v>0</v>
      </c>
      <c r="O36">
        <v>445</v>
      </c>
      <c r="P36">
        <v>79.6</v>
      </c>
    </row>
    <row r="37" spans="1:16">
      <c r="A37">
        <v>0</v>
      </c>
      <c r="B37" s="5">
        <v>0</v>
      </c>
      <c r="C37" s="4">
        <v>0</v>
      </c>
      <c r="D37" s="5">
        <v>0</v>
      </c>
      <c r="E37">
        <v>0</v>
      </c>
      <c r="F37">
        <v>0</v>
      </c>
      <c r="G37">
        <v>0</v>
      </c>
      <c r="H37" s="5">
        <v>0</v>
      </c>
      <c r="I37" s="26">
        <v>0</v>
      </c>
      <c r="J37">
        <v>0</v>
      </c>
      <c r="K37" s="5">
        <v>0</v>
      </c>
      <c r="L37">
        <v>1225</v>
      </c>
      <c r="M37">
        <v>0</v>
      </c>
      <c r="N37" s="7">
        <v>0</v>
      </c>
      <c r="O37">
        <v>525</v>
      </c>
      <c r="P37">
        <v>32.9</v>
      </c>
    </row>
    <row r="38" ht="14.75" spans="1:16">
      <c r="A38" s="20">
        <v>0</v>
      </c>
      <c r="B38" s="21">
        <v>0</v>
      </c>
      <c r="C38" s="20">
        <v>0</v>
      </c>
      <c r="D38" s="21">
        <v>0</v>
      </c>
      <c r="E38" s="20">
        <v>0</v>
      </c>
      <c r="F38" s="20">
        <v>0</v>
      </c>
      <c r="G38" s="20">
        <v>0</v>
      </c>
      <c r="H38" s="21">
        <v>0</v>
      </c>
      <c r="I38" s="33">
        <v>0</v>
      </c>
      <c r="J38" s="20">
        <v>74</v>
      </c>
      <c r="K38" s="21">
        <v>0</v>
      </c>
      <c r="L38" s="20">
        <v>0</v>
      </c>
      <c r="M38" s="20">
        <v>1225</v>
      </c>
      <c r="N38" s="20">
        <v>0</v>
      </c>
      <c r="O38" s="20">
        <v>525</v>
      </c>
      <c r="P38" s="20">
        <v>27.7</v>
      </c>
    </row>
    <row r="39" spans="1:16">
      <c r="A39" s="22">
        <v>360</v>
      </c>
      <c r="B39" s="5">
        <v>40</v>
      </c>
      <c r="C39">
        <v>27</v>
      </c>
      <c r="D39" s="5">
        <v>0</v>
      </c>
      <c r="E39">
        <v>107</v>
      </c>
      <c r="F39">
        <v>53</v>
      </c>
      <c r="G39">
        <v>2</v>
      </c>
      <c r="H39" s="5">
        <v>10</v>
      </c>
      <c r="I39" s="26">
        <v>0.4</v>
      </c>
      <c r="J39">
        <v>0</v>
      </c>
      <c r="K39" s="5">
        <v>4</v>
      </c>
      <c r="L39">
        <v>39</v>
      </c>
      <c r="M39">
        <v>0</v>
      </c>
      <c r="N39">
        <v>644</v>
      </c>
      <c r="O39">
        <v>0</v>
      </c>
      <c r="P39" s="34">
        <v>29</v>
      </c>
    </row>
    <row r="40" spans="1:16">
      <c r="A40">
        <v>349</v>
      </c>
      <c r="B40" s="5">
        <v>60</v>
      </c>
      <c r="C40">
        <v>27</v>
      </c>
      <c r="D40" s="5">
        <v>0</v>
      </c>
      <c r="E40">
        <v>107</v>
      </c>
      <c r="F40">
        <v>53</v>
      </c>
      <c r="G40">
        <v>2</v>
      </c>
      <c r="H40" s="5">
        <v>10</v>
      </c>
      <c r="I40" s="26">
        <v>0.4</v>
      </c>
      <c r="J40">
        <v>0</v>
      </c>
      <c r="K40" s="5">
        <v>4</v>
      </c>
      <c r="L40">
        <v>40</v>
      </c>
      <c r="M40">
        <v>0</v>
      </c>
      <c r="N40">
        <v>646</v>
      </c>
      <c r="O40">
        <v>0</v>
      </c>
      <c r="P40" s="34">
        <v>30</v>
      </c>
    </row>
    <row r="41" spans="1:16">
      <c r="A41">
        <v>320</v>
      </c>
      <c r="B41" s="5">
        <v>80</v>
      </c>
      <c r="C41">
        <v>27</v>
      </c>
      <c r="D41" s="5">
        <v>0</v>
      </c>
      <c r="E41">
        <v>107</v>
      </c>
      <c r="F41">
        <v>53</v>
      </c>
      <c r="G41">
        <v>2</v>
      </c>
      <c r="H41" s="5">
        <v>10</v>
      </c>
      <c r="I41" s="26">
        <v>0.4</v>
      </c>
      <c r="J41">
        <v>0</v>
      </c>
      <c r="K41" s="5">
        <v>4</v>
      </c>
      <c r="L41">
        <v>40</v>
      </c>
      <c r="M41">
        <v>0</v>
      </c>
      <c r="N41">
        <v>648</v>
      </c>
      <c r="O41">
        <v>0</v>
      </c>
      <c r="P41" s="34">
        <v>40</v>
      </c>
    </row>
    <row r="42" spans="1:16">
      <c r="A42">
        <v>300</v>
      </c>
      <c r="B42" s="5">
        <v>100</v>
      </c>
      <c r="C42">
        <v>27</v>
      </c>
      <c r="D42" s="5">
        <v>0</v>
      </c>
      <c r="E42">
        <v>107</v>
      </c>
      <c r="F42">
        <v>53</v>
      </c>
      <c r="G42">
        <v>2</v>
      </c>
      <c r="H42" s="5">
        <v>10</v>
      </c>
      <c r="I42" s="26">
        <v>0.4</v>
      </c>
      <c r="J42">
        <v>0</v>
      </c>
      <c r="K42" s="5">
        <v>4</v>
      </c>
      <c r="L42">
        <v>40</v>
      </c>
      <c r="M42">
        <v>0</v>
      </c>
      <c r="N42">
        <v>650</v>
      </c>
      <c r="O42">
        <v>0</v>
      </c>
      <c r="P42" s="34">
        <v>48</v>
      </c>
    </row>
    <row r="43" spans="1:16">
      <c r="A43">
        <v>280</v>
      </c>
      <c r="B43" s="5">
        <v>120</v>
      </c>
      <c r="C43">
        <v>27</v>
      </c>
      <c r="D43" s="5">
        <v>0</v>
      </c>
      <c r="E43">
        <v>107</v>
      </c>
      <c r="F43">
        <v>53</v>
      </c>
      <c r="G43">
        <v>2</v>
      </c>
      <c r="H43" s="5">
        <v>10</v>
      </c>
      <c r="I43" s="26">
        <v>0.4</v>
      </c>
      <c r="J43">
        <v>0</v>
      </c>
      <c r="K43" s="5">
        <v>4</v>
      </c>
      <c r="L43">
        <v>40</v>
      </c>
      <c r="M43">
        <v>0</v>
      </c>
      <c r="N43">
        <v>652</v>
      </c>
      <c r="O43">
        <v>0</v>
      </c>
      <c r="P43" s="34">
        <v>56</v>
      </c>
    </row>
    <row r="44" spans="1:16">
      <c r="A44">
        <v>340</v>
      </c>
      <c r="B44" s="5">
        <v>60</v>
      </c>
      <c r="C44">
        <v>27</v>
      </c>
      <c r="D44" s="5">
        <v>0</v>
      </c>
      <c r="E44">
        <v>107</v>
      </c>
      <c r="F44">
        <v>53</v>
      </c>
      <c r="G44">
        <v>2</v>
      </c>
      <c r="H44" s="5">
        <v>12</v>
      </c>
      <c r="I44" s="26">
        <v>0.4</v>
      </c>
      <c r="J44">
        <v>0</v>
      </c>
      <c r="K44" s="5">
        <v>4</v>
      </c>
      <c r="L44">
        <v>40</v>
      </c>
      <c r="M44">
        <v>0</v>
      </c>
      <c r="N44">
        <v>646</v>
      </c>
      <c r="O44">
        <v>0</v>
      </c>
      <c r="P44" s="34">
        <v>37</v>
      </c>
    </row>
    <row r="45" spans="1:16">
      <c r="A45">
        <v>320</v>
      </c>
      <c r="B45" s="5">
        <v>80</v>
      </c>
      <c r="C45">
        <v>27</v>
      </c>
      <c r="D45" s="5">
        <v>0</v>
      </c>
      <c r="E45">
        <v>107</v>
      </c>
      <c r="F45">
        <v>53</v>
      </c>
      <c r="G45">
        <v>2</v>
      </c>
      <c r="H45" s="5">
        <v>12</v>
      </c>
      <c r="I45" s="26">
        <v>0.4</v>
      </c>
      <c r="J45">
        <v>0</v>
      </c>
      <c r="K45" s="5">
        <v>4</v>
      </c>
      <c r="L45">
        <v>40</v>
      </c>
      <c r="M45">
        <v>0</v>
      </c>
      <c r="N45">
        <v>648</v>
      </c>
      <c r="O45">
        <v>0</v>
      </c>
      <c r="P45" s="34">
        <v>44</v>
      </c>
    </row>
    <row r="46" spans="1:16">
      <c r="A46">
        <v>300</v>
      </c>
      <c r="B46" s="5">
        <v>100</v>
      </c>
      <c r="C46">
        <v>27</v>
      </c>
      <c r="D46" s="5">
        <v>0</v>
      </c>
      <c r="E46">
        <v>107</v>
      </c>
      <c r="F46">
        <v>53</v>
      </c>
      <c r="G46">
        <v>2</v>
      </c>
      <c r="H46" s="5">
        <v>12</v>
      </c>
      <c r="I46" s="26">
        <v>0.4</v>
      </c>
      <c r="J46">
        <v>0</v>
      </c>
      <c r="K46" s="5">
        <v>4</v>
      </c>
      <c r="L46">
        <v>40</v>
      </c>
      <c r="M46">
        <v>0</v>
      </c>
      <c r="N46">
        <v>658</v>
      </c>
      <c r="O46">
        <v>0</v>
      </c>
      <c r="P46" s="34">
        <v>59</v>
      </c>
    </row>
    <row r="47" spans="1:16">
      <c r="A47">
        <v>340</v>
      </c>
      <c r="B47" s="5">
        <v>60</v>
      </c>
      <c r="C47">
        <v>27</v>
      </c>
      <c r="D47" s="5">
        <v>0</v>
      </c>
      <c r="E47">
        <v>107</v>
      </c>
      <c r="F47">
        <v>53</v>
      </c>
      <c r="G47">
        <v>2</v>
      </c>
      <c r="H47" s="5">
        <v>10</v>
      </c>
      <c r="I47" s="26">
        <v>0.35</v>
      </c>
      <c r="J47">
        <v>0</v>
      </c>
      <c r="K47" s="5">
        <v>4</v>
      </c>
      <c r="L47">
        <v>40</v>
      </c>
      <c r="M47">
        <v>0</v>
      </c>
      <c r="N47">
        <v>651</v>
      </c>
      <c r="O47">
        <v>0</v>
      </c>
      <c r="P47" s="34">
        <v>30</v>
      </c>
    </row>
    <row r="48" spans="1:16">
      <c r="A48">
        <v>320</v>
      </c>
      <c r="B48" s="5">
        <v>80</v>
      </c>
      <c r="C48">
        <v>27</v>
      </c>
      <c r="D48" s="5">
        <v>0</v>
      </c>
      <c r="E48">
        <v>107</v>
      </c>
      <c r="F48">
        <v>53</v>
      </c>
      <c r="G48">
        <v>2</v>
      </c>
      <c r="H48" s="5">
        <v>10</v>
      </c>
      <c r="I48" s="26">
        <v>0.35</v>
      </c>
      <c r="J48">
        <v>0</v>
      </c>
      <c r="K48" s="5">
        <v>4</v>
      </c>
      <c r="L48">
        <v>40</v>
      </c>
      <c r="M48">
        <v>0</v>
      </c>
      <c r="N48">
        <v>661</v>
      </c>
      <c r="O48">
        <v>0</v>
      </c>
      <c r="P48" s="34">
        <v>40</v>
      </c>
    </row>
    <row r="49" spans="1:16">
      <c r="A49">
        <v>300</v>
      </c>
      <c r="B49" s="5">
        <v>100</v>
      </c>
      <c r="C49">
        <v>27</v>
      </c>
      <c r="D49" s="5">
        <v>0</v>
      </c>
      <c r="E49">
        <v>107</v>
      </c>
      <c r="F49">
        <v>53</v>
      </c>
      <c r="G49">
        <v>2</v>
      </c>
      <c r="H49" s="5">
        <v>10</v>
      </c>
      <c r="I49" s="26">
        <v>0.35</v>
      </c>
      <c r="J49">
        <v>0</v>
      </c>
      <c r="K49" s="5">
        <v>4</v>
      </c>
      <c r="L49">
        <v>41</v>
      </c>
      <c r="M49">
        <v>0</v>
      </c>
      <c r="N49">
        <v>671</v>
      </c>
      <c r="O49">
        <v>0</v>
      </c>
      <c r="P49" s="34">
        <v>48</v>
      </c>
    </row>
    <row r="50" spans="1:16">
      <c r="A50">
        <v>340</v>
      </c>
      <c r="B50" s="5">
        <v>60</v>
      </c>
      <c r="C50">
        <v>27</v>
      </c>
      <c r="D50" s="5">
        <v>0</v>
      </c>
      <c r="E50">
        <v>107</v>
      </c>
      <c r="F50">
        <v>53</v>
      </c>
      <c r="G50">
        <v>1.5</v>
      </c>
      <c r="H50" s="5">
        <v>10</v>
      </c>
      <c r="I50" s="26">
        <v>0.4</v>
      </c>
      <c r="J50">
        <v>0</v>
      </c>
      <c r="K50" s="5">
        <v>4</v>
      </c>
      <c r="L50">
        <v>39</v>
      </c>
      <c r="M50">
        <v>0</v>
      </c>
      <c r="N50">
        <v>637</v>
      </c>
      <c r="O50">
        <v>0</v>
      </c>
      <c r="P50" s="34">
        <v>29</v>
      </c>
    </row>
    <row r="51" ht="14.75" spans="1:16">
      <c r="A51" s="20">
        <v>300</v>
      </c>
      <c r="B51" s="21">
        <v>100</v>
      </c>
      <c r="C51" s="20">
        <v>27</v>
      </c>
      <c r="D51" s="21">
        <v>0</v>
      </c>
      <c r="E51">
        <v>107</v>
      </c>
      <c r="F51">
        <v>53</v>
      </c>
      <c r="G51" s="20">
        <v>2.5</v>
      </c>
      <c r="H51" s="21">
        <v>10</v>
      </c>
      <c r="I51" s="33">
        <v>0.4</v>
      </c>
      <c r="J51" s="20">
        <v>0</v>
      </c>
      <c r="K51" s="21">
        <v>4</v>
      </c>
      <c r="L51" s="20">
        <v>40</v>
      </c>
      <c r="M51" s="20">
        <v>0</v>
      </c>
      <c r="N51" s="20">
        <v>659</v>
      </c>
      <c r="O51" s="20">
        <v>0</v>
      </c>
      <c r="P51" s="34">
        <v>57</v>
      </c>
    </row>
    <row r="52" spans="1:16">
      <c r="A52">
        <v>350</v>
      </c>
      <c r="B52" s="5">
        <v>150</v>
      </c>
      <c r="C52">
        <v>27</v>
      </c>
      <c r="D52" s="5">
        <v>0</v>
      </c>
      <c r="E52">
        <v>120</v>
      </c>
      <c r="F52">
        <v>80</v>
      </c>
      <c r="G52">
        <v>1.5</v>
      </c>
      <c r="H52" s="5">
        <v>14</v>
      </c>
      <c r="I52" s="26">
        <v>0.4</v>
      </c>
      <c r="J52">
        <v>122</v>
      </c>
      <c r="K52" s="5">
        <v>7.5</v>
      </c>
      <c r="L52">
        <v>1007</v>
      </c>
      <c r="M52">
        <v>0</v>
      </c>
      <c r="N52">
        <v>628</v>
      </c>
      <c r="O52">
        <v>0</v>
      </c>
      <c r="P52">
        <v>66.23</v>
      </c>
    </row>
    <row r="53" spans="1:16">
      <c r="A53">
        <v>280</v>
      </c>
      <c r="B53" s="5">
        <v>120</v>
      </c>
      <c r="C53">
        <v>27</v>
      </c>
      <c r="D53" s="5">
        <v>0</v>
      </c>
      <c r="E53">
        <v>120</v>
      </c>
      <c r="F53">
        <v>80</v>
      </c>
      <c r="G53">
        <v>1.5</v>
      </c>
      <c r="H53" s="5">
        <v>14</v>
      </c>
      <c r="I53" s="26">
        <v>0.5</v>
      </c>
      <c r="J53">
        <v>122</v>
      </c>
      <c r="K53" s="5">
        <v>4.8</v>
      </c>
      <c r="L53">
        <v>1091</v>
      </c>
      <c r="M53">
        <v>0</v>
      </c>
      <c r="N53">
        <v>680</v>
      </c>
      <c r="O53">
        <v>0</v>
      </c>
      <c r="P53">
        <v>56.42</v>
      </c>
    </row>
    <row r="54" spans="1:16">
      <c r="A54">
        <v>233</v>
      </c>
      <c r="B54" s="5">
        <v>100</v>
      </c>
      <c r="C54">
        <v>27</v>
      </c>
      <c r="D54" s="5">
        <v>0</v>
      </c>
      <c r="E54">
        <v>120</v>
      </c>
      <c r="F54">
        <v>80</v>
      </c>
      <c r="G54">
        <v>1.5</v>
      </c>
      <c r="H54" s="5">
        <v>14</v>
      </c>
      <c r="I54" s="26">
        <v>0.6</v>
      </c>
      <c r="J54">
        <v>122</v>
      </c>
      <c r="K54" s="5">
        <v>2.5</v>
      </c>
      <c r="L54">
        <v>1129</v>
      </c>
      <c r="M54">
        <v>0</v>
      </c>
      <c r="N54">
        <v>704</v>
      </c>
      <c r="O54">
        <v>0</v>
      </c>
      <c r="P54">
        <v>49.58</v>
      </c>
    </row>
    <row r="55" spans="1:16">
      <c r="A55">
        <v>200</v>
      </c>
      <c r="B55" s="5">
        <v>85</v>
      </c>
      <c r="C55">
        <v>27</v>
      </c>
      <c r="D55" s="5">
        <v>0</v>
      </c>
      <c r="E55">
        <v>120</v>
      </c>
      <c r="F55">
        <v>80</v>
      </c>
      <c r="G55">
        <v>1.5</v>
      </c>
      <c r="H55" s="5">
        <v>14</v>
      </c>
      <c r="I55" s="26">
        <v>0.7</v>
      </c>
      <c r="J55">
        <v>122</v>
      </c>
      <c r="K55" s="5">
        <v>0</v>
      </c>
      <c r="L55">
        <v>1163</v>
      </c>
      <c r="M55">
        <v>0</v>
      </c>
      <c r="N55">
        <v>726</v>
      </c>
      <c r="O55">
        <v>0</v>
      </c>
      <c r="P55">
        <v>39.6</v>
      </c>
    </row>
    <row r="56" ht="14.75" spans="1:16">
      <c r="A56" s="20">
        <v>175</v>
      </c>
      <c r="B56" s="21">
        <v>75</v>
      </c>
      <c r="C56" s="20">
        <v>27</v>
      </c>
      <c r="D56" s="21">
        <v>0</v>
      </c>
      <c r="E56" s="20">
        <v>120</v>
      </c>
      <c r="F56" s="20">
        <v>80</v>
      </c>
      <c r="G56" s="20">
        <v>1.5</v>
      </c>
      <c r="H56" s="21">
        <v>14</v>
      </c>
      <c r="I56" s="33">
        <v>0.8</v>
      </c>
      <c r="J56" s="20">
        <v>122</v>
      </c>
      <c r="K56" s="21">
        <v>0</v>
      </c>
      <c r="L56" s="20">
        <v>1190</v>
      </c>
      <c r="M56" s="20">
        <v>0</v>
      </c>
      <c r="N56" s="20">
        <v>742</v>
      </c>
      <c r="O56" s="20">
        <v>0</v>
      </c>
      <c r="P56" s="20">
        <v>32.73</v>
      </c>
    </row>
    <row r="57" spans="1:16">
      <c r="A57">
        <v>420</v>
      </c>
      <c r="B57" s="5">
        <v>0</v>
      </c>
      <c r="C57">
        <v>60</v>
      </c>
      <c r="D57" s="23">
        <v>0</v>
      </c>
      <c r="E57">
        <v>91.8</v>
      </c>
      <c r="F57">
        <v>19.32</v>
      </c>
      <c r="G57">
        <v>4.75</v>
      </c>
      <c r="H57" s="23">
        <v>11.5</v>
      </c>
      <c r="I57" s="26">
        <v>0.365</v>
      </c>
      <c r="J57">
        <v>42</v>
      </c>
      <c r="K57" s="5">
        <v>0</v>
      </c>
      <c r="L57">
        <v>1260.42</v>
      </c>
      <c r="M57">
        <v>0</v>
      </c>
      <c r="N57" s="7">
        <v>566.28</v>
      </c>
      <c r="O57">
        <v>0</v>
      </c>
      <c r="P57" s="35">
        <v>65.58</v>
      </c>
    </row>
    <row r="58" spans="1:16">
      <c r="A58">
        <v>420</v>
      </c>
      <c r="B58" s="5">
        <v>0</v>
      </c>
      <c r="C58">
        <v>60</v>
      </c>
      <c r="D58" s="5">
        <v>0</v>
      </c>
      <c r="E58">
        <v>112</v>
      </c>
      <c r="F58">
        <v>19.64</v>
      </c>
      <c r="G58">
        <v>5.7</v>
      </c>
      <c r="H58" s="5">
        <v>13.5</v>
      </c>
      <c r="I58" s="26">
        <v>0.4</v>
      </c>
      <c r="J58">
        <v>36.36</v>
      </c>
      <c r="K58" s="5">
        <v>0</v>
      </c>
      <c r="L58">
        <v>1250.28</v>
      </c>
      <c r="M58">
        <v>0</v>
      </c>
      <c r="N58" s="7">
        <v>561.72</v>
      </c>
      <c r="O58">
        <v>0</v>
      </c>
      <c r="P58">
        <v>75.9</v>
      </c>
    </row>
    <row r="59" spans="1:16">
      <c r="A59">
        <v>420</v>
      </c>
      <c r="B59" s="5">
        <v>0</v>
      </c>
      <c r="C59">
        <v>60</v>
      </c>
      <c r="D59" s="5">
        <v>0</v>
      </c>
      <c r="E59">
        <v>130.5</v>
      </c>
      <c r="F59">
        <v>19.98</v>
      </c>
      <c r="G59">
        <v>6.53</v>
      </c>
      <c r="H59" s="5">
        <v>15.5</v>
      </c>
      <c r="I59" s="26">
        <v>0.435</v>
      </c>
      <c r="J59">
        <v>32.22</v>
      </c>
      <c r="K59" s="5">
        <v>0</v>
      </c>
      <c r="L59">
        <v>1240.14</v>
      </c>
      <c r="M59">
        <v>0</v>
      </c>
      <c r="N59" s="7">
        <v>557.16</v>
      </c>
      <c r="O59">
        <v>0</v>
      </c>
      <c r="P59">
        <v>69.87</v>
      </c>
    </row>
    <row r="60" spans="1:16">
      <c r="A60">
        <v>460</v>
      </c>
      <c r="B60" s="5">
        <v>0</v>
      </c>
      <c r="C60">
        <v>60</v>
      </c>
      <c r="D60" s="5">
        <v>0</v>
      </c>
      <c r="E60">
        <v>119.93</v>
      </c>
      <c r="F60">
        <v>16.82</v>
      </c>
      <c r="G60">
        <v>7.13</v>
      </c>
      <c r="H60" s="5">
        <v>13.5</v>
      </c>
      <c r="I60" s="26">
        <v>0.365</v>
      </c>
      <c r="J60">
        <v>31.15</v>
      </c>
      <c r="K60" s="5">
        <v>0</v>
      </c>
      <c r="L60">
        <v>1222.75</v>
      </c>
      <c r="M60">
        <v>0</v>
      </c>
      <c r="N60" s="7">
        <v>549.35</v>
      </c>
      <c r="O60">
        <v>0</v>
      </c>
      <c r="P60">
        <v>62.23</v>
      </c>
    </row>
    <row r="61" spans="1:16">
      <c r="A61">
        <v>460</v>
      </c>
      <c r="B61" s="5">
        <v>0</v>
      </c>
      <c r="C61">
        <v>60</v>
      </c>
      <c r="D61" s="5">
        <v>0</v>
      </c>
      <c r="E61">
        <v>110.4</v>
      </c>
      <c r="F61">
        <v>28.17</v>
      </c>
      <c r="G61">
        <v>3.91</v>
      </c>
      <c r="H61" s="5">
        <v>15.5</v>
      </c>
      <c r="I61" s="26">
        <v>0.4</v>
      </c>
      <c r="J61">
        <v>45.43</v>
      </c>
      <c r="K61" s="5">
        <v>0</v>
      </c>
      <c r="L61">
        <v>1211.64</v>
      </c>
      <c r="M61">
        <v>0</v>
      </c>
      <c r="N61" s="7">
        <v>544.36</v>
      </c>
      <c r="O61">
        <v>0</v>
      </c>
      <c r="P61">
        <v>92.86</v>
      </c>
    </row>
    <row r="62" spans="1:16">
      <c r="A62">
        <v>460</v>
      </c>
      <c r="B62" s="5">
        <v>0</v>
      </c>
      <c r="C62">
        <v>60</v>
      </c>
      <c r="D62" s="5">
        <v>0</v>
      </c>
      <c r="E62">
        <v>133.4</v>
      </c>
      <c r="F62">
        <v>20.94</v>
      </c>
      <c r="G62">
        <v>6.37</v>
      </c>
      <c r="H62" s="5">
        <v>11.5</v>
      </c>
      <c r="I62" s="26">
        <v>0.435</v>
      </c>
      <c r="J62">
        <v>45.76</v>
      </c>
      <c r="K62" s="5">
        <v>0</v>
      </c>
      <c r="L62">
        <v>1200.53</v>
      </c>
      <c r="M62">
        <v>0</v>
      </c>
      <c r="N62" s="7">
        <v>539.37</v>
      </c>
      <c r="O62">
        <v>0</v>
      </c>
      <c r="P62">
        <v>56.8</v>
      </c>
    </row>
    <row r="63" spans="1:16">
      <c r="A63">
        <v>500</v>
      </c>
      <c r="B63" s="5">
        <v>0</v>
      </c>
      <c r="C63">
        <v>60</v>
      </c>
      <c r="D63" s="5">
        <v>0</v>
      </c>
      <c r="E63">
        <v>121.67</v>
      </c>
      <c r="F63">
        <v>23.28</v>
      </c>
      <c r="G63">
        <v>5.22</v>
      </c>
      <c r="H63" s="5">
        <v>15.5</v>
      </c>
      <c r="I63" s="26">
        <v>0.365</v>
      </c>
      <c r="J63">
        <v>37.55</v>
      </c>
      <c r="K63" s="5">
        <v>0</v>
      </c>
      <c r="L63">
        <v>1185.08</v>
      </c>
      <c r="M63">
        <v>0</v>
      </c>
      <c r="N63" s="7">
        <v>532.43</v>
      </c>
      <c r="O63">
        <v>0</v>
      </c>
      <c r="P63">
        <v>79.83</v>
      </c>
    </row>
    <row r="64" spans="1:16">
      <c r="A64">
        <v>500</v>
      </c>
      <c r="B64" s="5">
        <v>0</v>
      </c>
      <c r="C64">
        <v>60</v>
      </c>
      <c r="D64" s="5">
        <v>0</v>
      </c>
      <c r="E64">
        <v>142.86</v>
      </c>
      <c r="F64">
        <v>18</v>
      </c>
      <c r="G64">
        <v>7.93</v>
      </c>
      <c r="H64" s="5">
        <v>11.5</v>
      </c>
      <c r="I64" s="26">
        <v>0.4</v>
      </c>
      <c r="J64">
        <v>39.14</v>
      </c>
      <c r="K64" s="5">
        <v>0</v>
      </c>
      <c r="L64">
        <v>1173</v>
      </c>
      <c r="M64">
        <v>0</v>
      </c>
      <c r="N64" s="7">
        <v>527</v>
      </c>
      <c r="O64">
        <v>0</v>
      </c>
      <c r="P64">
        <v>58.51</v>
      </c>
    </row>
    <row r="65" ht="14.75" spans="1:16">
      <c r="A65" s="38">
        <v>500</v>
      </c>
      <c r="B65" s="21">
        <v>0</v>
      </c>
      <c r="C65" s="20">
        <v>60</v>
      </c>
      <c r="D65" s="21">
        <v>0</v>
      </c>
      <c r="E65" s="20">
        <v>130.5</v>
      </c>
      <c r="F65" s="20">
        <v>30.51</v>
      </c>
      <c r="G65" s="20">
        <v>4.27</v>
      </c>
      <c r="H65" s="21">
        <v>13.5</v>
      </c>
      <c r="I65" s="33">
        <v>0.435</v>
      </c>
      <c r="J65" s="20">
        <v>56.49</v>
      </c>
      <c r="K65" s="21">
        <v>0</v>
      </c>
      <c r="L65" s="20">
        <v>1160.93</v>
      </c>
      <c r="M65" s="20">
        <v>0</v>
      </c>
      <c r="N65" s="20">
        <v>521.58</v>
      </c>
      <c r="O65" s="20">
        <v>0</v>
      </c>
      <c r="P65" s="20">
        <v>86.6</v>
      </c>
    </row>
    <row r="66" ht="14.5" spans="1:16">
      <c r="A66" s="39">
        <v>430</v>
      </c>
      <c r="B66" s="39">
        <v>0</v>
      </c>
      <c r="C66" s="40">
        <v>60</v>
      </c>
      <c r="D66" s="40">
        <v>24</v>
      </c>
      <c r="E66">
        <v>138.21</v>
      </c>
      <c r="F66">
        <v>55.29</v>
      </c>
      <c r="G66" s="41">
        <v>0.4</v>
      </c>
      <c r="H66" s="39">
        <v>8</v>
      </c>
      <c r="I66" s="40">
        <v>0.45</v>
      </c>
      <c r="J66" s="45">
        <v>0</v>
      </c>
      <c r="K66" s="45">
        <v>8.6</v>
      </c>
      <c r="L66" s="39">
        <v>1243</v>
      </c>
      <c r="M66">
        <v>0</v>
      </c>
      <c r="N66" s="39">
        <v>533</v>
      </c>
      <c r="O66">
        <v>0</v>
      </c>
      <c r="P66" s="40">
        <v>32.5</v>
      </c>
    </row>
    <row r="67" ht="14.5" spans="1:16">
      <c r="A67" s="39">
        <v>397</v>
      </c>
      <c r="B67" s="39">
        <v>0</v>
      </c>
      <c r="C67" s="40">
        <v>70</v>
      </c>
      <c r="D67" s="40">
        <v>24</v>
      </c>
      <c r="E67">
        <v>127.6</v>
      </c>
      <c r="F67">
        <v>51.05</v>
      </c>
      <c r="G67" s="41">
        <v>0.4</v>
      </c>
      <c r="H67" s="39">
        <v>8</v>
      </c>
      <c r="I67" s="40">
        <v>0.45</v>
      </c>
      <c r="J67" s="45">
        <v>0</v>
      </c>
      <c r="K67" s="45">
        <v>7.94</v>
      </c>
      <c r="L67" s="39">
        <v>1307</v>
      </c>
      <c r="M67">
        <v>0</v>
      </c>
      <c r="N67" s="39">
        <v>547</v>
      </c>
      <c r="O67">
        <v>0</v>
      </c>
      <c r="P67" s="40">
        <v>35</v>
      </c>
    </row>
    <row r="68" ht="14.5" spans="1:16">
      <c r="A68" s="39">
        <v>364</v>
      </c>
      <c r="B68" s="39">
        <v>0</v>
      </c>
      <c r="C68" s="40">
        <v>80</v>
      </c>
      <c r="D68" s="40">
        <v>24</v>
      </c>
      <c r="E68">
        <v>117</v>
      </c>
      <c r="F68">
        <v>46.8</v>
      </c>
      <c r="G68" s="41">
        <v>0.4</v>
      </c>
      <c r="H68" s="39">
        <v>8</v>
      </c>
      <c r="I68" s="40">
        <v>0.45</v>
      </c>
      <c r="J68" s="45">
        <v>0</v>
      </c>
      <c r="K68" s="45">
        <v>7.28</v>
      </c>
      <c r="L68" s="39">
        <v>1311</v>
      </c>
      <c r="M68">
        <v>0</v>
      </c>
      <c r="N68" s="39">
        <v>562</v>
      </c>
      <c r="O68">
        <v>0</v>
      </c>
      <c r="P68" s="40">
        <v>37</v>
      </c>
    </row>
    <row r="69" ht="14.5" spans="1:16">
      <c r="A69" s="39">
        <v>331</v>
      </c>
      <c r="B69" s="39">
        <v>0</v>
      </c>
      <c r="C69" s="40">
        <v>90</v>
      </c>
      <c r="D69" s="40">
        <v>24</v>
      </c>
      <c r="E69">
        <v>106.39</v>
      </c>
      <c r="F69">
        <v>42.56</v>
      </c>
      <c r="G69" s="41">
        <v>0.4</v>
      </c>
      <c r="H69" s="39">
        <v>8</v>
      </c>
      <c r="I69" s="40">
        <v>0.45</v>
      </c>
      <c r="J69" s="45">
        <v>0</v>
      </c>
      <c r="K69" s="45">
        <v>6.62</v>
      </c>
      <c r="L69" s="39">
        <v>1344</v>
      </c>
      <c r="M69">
        <v>0</v>
      </c>
      <c r="N69" s="39">
        <v>576</v>
      </c>
      <c r="O69">
        <v>0</v>
      </c>
      <c r="P69" s="40">
        <v>37.5</v>
      </c>
    </row>
    <row r="70" ht="14.5" spans="1:16">
      <c r="A70" s="39">
        <v>298</v>
      </c>
      <c r="B70" s="39">
        <v>0</v>
      </c>
      <c r="C70" s="40">
        <v>100</v>
      </c>
      <c r="D70" s="40">
        <v>24</v>
      </c>
      <c r="E70">
        <v>95.78</v>
      </c>
      <c r="F70">
        <v>38.32</v>
      </c>
      <c r="G70" s="41">
        <v>0.4</v>
      </c>
      <c r="H70" s="39">
        <v>8</v>
      </c>
      <c r="I70" s="40">
        <v>0.45</v>
      </c>
      <c r="J70" s="45">
        <v>0</v>
      </c>
      <c r="K70" s="45">
        <v>5.96</v>
      </c>
      <c r="L70" s="39">
        <v>1377</v>
      </c>
      <c r="M70">
        <v>0</v>
      </c>
      <c r="N70" s="39">
        <v>590</v>
      </c>
      <c r="O70">
        <v>0</v>
      </c>
      <c r="P70" s="40">
        <v>35</v>
      </c>
    </row>
    <row r="71" ht="14.5" spans="1:16">
      <c r="A71" s="39">
        <v>430</v>
      </c>
      <c r="B71" s="39">
        <v>0</v>
      </c>
      <c r="C71" s="40">
        <v>60</v>
      </c>
      <c r="D71" s="40">
        <v>24</v>
      </c>
      <c r="E71">
        <v>138.21</v>
      </c>
      <c r="F71">
        <v>55.29</v>
      </c>
      <c r="G71" s="41">
        <v>0.4</v>
      </c>
      <c r="H71" s="39">
        <v>10</v>
      </c>
      <c r="I71" s="40">
        <v>0.45</v>
      </c>
      <c r="J71" s="45">
        <v>0</v>
      </c>
      <c r="K71" s="45">
        <v>8.6</v>
      </c>
      <c r="L71" s="39">
        <v>1243</v>
      </c>
      <c r="M71">
        <v>0</v>
      </c>
      <c r="N71" s="39">
        <v>533</v>
      </c>
      <c r="O71">
        <v>0</v>
      </c>
      <c r="P71" s="40">
        <v>36</v>
      </c>
    </row>
    <row r="72" ht="14.5" spans="1:16">
      <c r="A72" s="39">
        <v>397</v>
      </c>
      <c r="B72" s="39">
        <v>0</v>
      </c>
      <c r="C72" s="40">
        <v>70</v>
      </c>
      <c r="D72" s="40">
        <v>24</v>
      </c>
      <c r="E72">
        <v>127.6</v>
      </c>
      <c r="F72">
        <v>51.05</v>
      </c>
      <c r="G72" s="41">
        <v>0.4</v>
      </c>
      <c r="H72" s="39">
        <v>10</v>
      </c>
      <c r="I72" s="40">
        <v>0.45</v>
      </c>
      <c r="J72" s="45">
        <v>0</v>
      </c>
      <c r="K72" s="45">
        <v>7.94</v>
      </c>
      <c r="L72" s="39">
        <v>1307</v>
      </c>
      <c r="M72">
        <v>0</v>
      </c>
      <c r="N72" s="39">
        <v>547</v>
      </c>
      <c r="O72">
        <v>0</v>
      </c>
      <c r="P72" s="40">
        <v>36.5</v>
      </c>
    </row>
    <row r="73" ht="14.5" spans="1:16">
      <c r="A73" s="39">
        <v>364</v>
      </c>
      <c r="B73" s="39">
        <v>0</v>
      </c>
      <c r="C73" s="40">
        <v>80</v>
      </c>
      <c r="D73" s="40">
        <v>24</v>
      </c>
      <c r="E73">
        <v>117</v>
      </c>
      <c r="F73">
        <v>46.8</v>
      </c>
      <c r="G73" s="41">
        <v>0.4</v>
      </c>
      <c r="H73" s="39">
        <v>10</v>
      </c>
      <c r="I73" s="40">
        <v>0.45</v>
      </c>
      <c r="J73" s="45">
        <v>0</v>
      </c>
      <c r="K73" s="45">
        <v>7.28</v>
      </c>
      <c r="L73" s="39">
        <v>1311</v>
      </c>
      <c r="M73">
        <v>0</v>
      </c>
      <c r="N73" s="39">
        <v>562</v>
      </c>
      <c r="O73">
        <v>0</v>
      </c>
      <c r="P73" s="40">
        <v>37.5</v>
      </c>
    </row>
    <row r="74" ht="14.5" spans="1:16">
      <c r="A74" s="39">
        <v>331</v>
      </c>
      <c r="B74" s="39">
        <v>0</v>
      </c>
      <c r="C74" s="40">
        <v>90</v>
      </c>
      <c r="D74" s="40">
        <v>24</v>
      </c>
      <c r="E74">
        <v>106.39</v>
      </c>
      <c r="F74">
        <v>42.56</v>
      </c>
      <c r="G74" s="41">
        <v>0.4</v>
      </c>
      <c r="H74" s="39">
        <v>10</v>
      </c>
      <c r="I74" s="40">
        <v>0.45</v>
      </c>
      <c r="J74" s="45">
        <v>0</v>
      </c>
      <c r="K74" s="45">
        <v>6.62</v>
      </c>
      <c r="L74" s="39">
        <v>1344</v>
      </c>
      <c r="M74">
        <v>0</v>
      </c>
      <c r="N74" s="39">
        <v>576</v>
      </c>
      <c r="O74">
        <v>0</v>
      </c>
      <c r="P74" s="40">
        <v>38</v>
      </c>
    </row>
    <row r="75" ht="14.5" spans="1:16">
      <c r="A75" s="39">
        <v>298</v>
      </c>
      <c r="B75" s="39">
        <v>0</v>
      </c>
      <c r="C75" s="40">
        <v>100</v>
      </c>
      <c r="D75" s="40">
        <v>24</v>
      </c>
      <c r="E75">
        <v>95.78</v>
      </c>
      <c r="F75">
        <v>38.32</v>
      </c>
      <c r="G75" s="41">
        <v>0.4</v>
      </c>
      <c r="H75" s="39">
        <v>10</v>
      </c>
      <c r="I75" s="40">
        <v>0.45</v>
      </c>
      <c r="J75" s="45">
        <v>0</v>
      </c>
      <c r="K75" s="45">
        <v>5.96</v>
      </c>
      <c r="L75" s="39">
        <v>1377</v>
      </c>
      <c r="M75">
        <v>0</v>
      </c>
      <c r="N75" s="39">
        <v>590</v>
      </c>
      <c r="O75">
        <v>0</v>
      </c>
      <c r="P75" s="40">
        <v>37.5</v>
      </c>
    </row>
    <row r="76" ht="14.5" spans="1:16">
      <c r="A76" s="39">
        <v>430</v>
      </c>
      <c r="B76" s="39">
        <v>0</v>
      </c>
      <c r="C76" s="40">
        <v>60</v>
      </c>
      <c r="D76" s="40">
        <v>24</v>
      </c>
      <c r="E76">
        <v>138.21</v>
      </c>
      <c r="F76">
        <v>55.29</v>
      </c>
      <c r="G76" s="41">
        <v>0.4</v>
      </c>
      <c r="H76" s="39">
        <v>12</v>
      </c>
      <c r="I76" s="40">
        <v>0.45</v>
      </c>
      <c r="J76" s="45">
        <v>0</v>
      </c>
      <c r="K76" s="45">
        <v>8.6</v>
      </c>
      <c r="L76" s="39">
        <v>1243</v>
      </c>
      <c r="M76">
        <v>0</v>
      </c>
      <c r="N76" s="39">
        <v>533</v>
      </c>
      <c r="O76">
        <v>0</v>
      </c>
      <c r="P76" s="40">
        <v>39</v>
      </c>
    </row>
    <row r="77" ht="14.5" spans="1:16">
      <c r="A77" s="39">
        <v>397</v>
      </c>
      <c r="B77" s="39">
        <v>0</v>
      </c>
      <c r="C77" s="40">
        <v>70</v>
      </c>
      <c r="D77" s="40">
        <v>24</v>
      </c>
      <c r="E77">
        <v>127.6</v>
      </c>
      <c r="F77">
        <v>51.05</v>
      </c>
      <c r="G77" s="41">
        <v>0.4</v>
      </c>
      <c r="H77" s="39">
        <v>12</v>
      </c>
      <c r="I77" s="40">
        <v>0.45</v>
      </c>
      <c r="J77" s="45">
        <v>0</v>
      </c>
      <c r="K77" s="45">
        <v>7.94</v>
      </c>
      <c r="L77" s="39">
        <v>1307</v>
      </c>
      <c r="M77">
        <v>0</v>
      </c>
      <c r="N77" s="39">
        <v>547</v>
      </c>
      <c r="O77">
        <v>0</v>
      </c>
      <c r="P77" s="40">
        <v>40</v>
      </c>
    </row>
    <row r="78" ht="14.5" spans="1:16">
      <c r="A78" s="39">
        <v>364</v>
      </c>
      <c r="B78" s="39">
        <v>0</v>
      </c>
      <c r="C78" s="40">
        <v>80</v>
      </c>
      <c r="D78" s="40">
        <v>24</v>
      </c>
      <c r="E78">
        <v>117</v>
      </c>
      <c r="F78">
        <v>46.8</v>
      </c>
      <c r="G78" s="41">
        <v>0.4</v>
      </c>
      <c r="H78" s="39">
        <v>12</v>
      </c>
      <c r="I78" s="40">
        <v>0.45</v>
      </c>
      <c r="J78" s="45">
        <v>0</v>
      </c>
      <c r="K78" s="45">
        <v>7.28</v>
      </c>
      <c r="L78" s="39">
        <v>1311</v>
      </c>
      <c r="M78">
        <v>0</v>
      </c>
      <c r="N78" s="39">
        <v>562</v>
      </c>
      <c r="O78">
        <v>0</v>
      </c>
      <c r="P78" s="40">
        <v>40.5</v>
      </c>
    </row>
    <row r="79" ht="14.5" spans="1:16">
      <c r="A79" s="39">
        <v>331</v>
      </c>
      <c r="B79" s="39">
        <v>0</v>
      </c>
      <c r="C79" s="40">
        <v>90</v>
      </c>
      <c r="D79" s="40">
        <v>24</v>
      </c>
      <c r="E79">
        <v>106.39</v>
      </c>
      <c r="F79">
        <v>42.56</v>
      </c>
      <c r="G79" s="41">
        <v>0.4</v>
      </c>
      <c r="H79" s="39">
        <v>12</v>
      </c>
      <c r="I79" s="40">
        <v>0.45</v>
      </c>
      <c r="J79" s="45">
        <v>0</v>
      </c>
      <c r="K79" s="45">
        <v>6.62</v>
      </c>
      <c r="L79" s="39">
        <v>1344</v>
      </c>
      <c r="M79">
        <v>0</v>
      </c>
      <c r="N79" s="39">
        <v>576</v>
      </c>
      <c r="O79">
        <v>0</v>
      </c>
      <c r="P79" s="40">
        <v>42.5</v>
      </c>
    </row>
    <row r="80" ht="14.5" spans="1:16">
      <c r="A80" s="39">
        <v>298</v>
      </c>
      <c r="B80" s="39">
        <v>0</v>
      </c>
      <c r="C80" s="40">
        <v>100</v>
      </c>
      <c r="D80" s="40">
        <v>24</v>
      </c>
      <c r="E80">
        <v>95.78</v>
      </c>
      <c r="F80">
        <v>38.32</v>
      </c>
      <c r="G80" s="41">
        <v>0.4</v>
      </c>
      <c r="H80" s="39">
        <v>12</v>
      </c>
      <c r="I80" s="40">
        <v>0.45</v>
      </c>
      <c r="J80" s="45">
        <v>0</v>
      </c>
      <c r="K80" s="45">
        <v>5.96</v>
      </c>
      <c r="L80" s="39">
        <v>1377</v>
      </c>
      <c r="M80">
        <v>0</v>
      </c>
      <c r="N80" s="39">
        <v>590</v>
      </c>
      <c r="O80">
        <v>0</v>
      </c>
      <c r="P80" s="40">
        <v>41</v>
      </c>
    </row>
    <row r="81" ht="14.5" spans="1:16">
      <c r="A81" s="39">
        <v>430</v>
      </c>
      <c r="B81" s="39">
        <v>0</v>
      </c>
      <c r="C81" s="40">
        <v>60</v>
      </c>
      <c r="D81" s="40">
        <v>24</v>
      </c>
      <c r="E81">
        <v>138.21</v>
      </c>
      <c r="F81">
        <v>55.29</v>
      </c>
      <c r="G81" s="41">
        <v>0.4</v>
      </c>
      <c r="H81" s="39">
        <v>14</v>
      </c>
      <c r="I81" s="40">
        <v>0.45</v>
      </c>
      <c r="J81" s="45">
        <v>0</v>
      </c>
      <c r="K81" s="45">
        <v>8.6</v>
      </c>
      <c r="L81" s="39">
        <v>1243</v>
      </c>
      <c r="M81">
        <v>0</v>
      </c>
      <c r="N81" s="39">
        <v>533</v>
      </c>
      <c r="O81">
        <v>0</v>
      </c>
      <c r="P81" s="40">
        <v>39</v>
      </c>
    </row>
    <row r="82" ht="14.5" spans="1:16">
      <c r="A82" s="39">
        <v>397</v>
      </c>
      <c r="B82" s="39">
        <v>0</v>
      </c>
      <c r="C82" s="40">
        <v>70</v>
      </c>
      <c r="D82" s="40">
        <v>24</v>
      </c>
      <c r="E82">
        <v>127.6</v>
      </c>
      <c r="F82">
        <v>51.05</v>
      </c>
      <c r="G82" s="41">
        <v>0.4</v>
      </c>
      <c r="H82" s="39">
        <v>14</v>
      </c>
      <c r="I82" s="40">
        <v>0.45</v>
      </c>
      <c r="J82" s="45">
        <v>0</v>
      </c>
      <c r="K82" s="45">
        <v>7.94</v>
      </c>
      <c r="L82" s="39">
        <v>1307</v>
      </c>
      <c r="M82">
        <v>0</v>
      </c>
      <c r="N82" s="39">
        <v>547</v>
      </c>
      <c r="O82">
        <v>0</v>
      </c>
      <c r="P82" s="40">
        <v>40</v>
      </c>
    </row>
    <row r="83" ht="14.5" spans="1:16">
      <c r="A83" s="39">
        <v>364</v>
      </c>
      <c r="B83" s="39">
        <v>0</v>
      </c>
      <c r="C83" s="40">
        <v>80</v>
      </c>
      <c r="D83" s="40">
        <v>24</v>
      </c>
      <c r="E83">
        <v>117</v>
      </c>
      <c r="F83">
        <v>46.8</v>
      </c>
      <c r="G83" s="41">
        <v>0.4</v>
      </c>
      <c r="H83" s="39">
        <v>14</v>
      </c>
      <c r="I83" s="40">
        <v>0.45</v>
      </c>
      <c r="J83" s="45">
        <v>0</v>
      </c>
      <c r="K83" s="45">
        <v>7.28</v>
      </c>
      <c r="L83" s="39">
        <v>1311</v>
      </c>
      <c r="M83">
        <v>0</v>
      </c>
      <c r="N83" s="39">
        <v>562</v>
      </c>
      <c r="O83">
        <v>0</v>
      </c>
      <c r="P83" s="40">
        <v>40.3</v>
      </c>
    </row>
    <row r="84" ht="14.5" spans="1:16">
      <c r="A84" s="39">
        <v>331</v>
      </c>
      <c r="B84" s="39">
        <v>0</v>
      </c>
      <c r="C84" s="40">
        <v>90</v>
      </c>
      <c r="D84" s="40">
        <v>24</v>
      </c>
      <c r="E84">
        <v>106.39</v>
      </c>
      <c r="F84">
        <v>42.56</v>
      </c>
      <c r="G84" s="41">
        <v>0.4</v>
      </c>
      <c r="H84" s="39">
        <v>14</v>
      </c>
      <c r="I84" s="40">
        <v>0.45</v>
      </c>
      <c r="J84" s="45">
        <v>0</v>
      </c>
      <c r="K84" s="45">
        <v>6.62</v>
      </c>
      <c r="L84" s="39">
        <v>1344</v>
      </c>
      <c r="M84">
        <v>0</v>
      </c>
      <c r="N84" s="39">
        <v>576</v>
      </c>
      <c r="O84">
        <v>0</v>
      </c>
      <c r="P84" s="40">
        <v>41</v>
      </c>
    </row>
    <row r="85" ht="14.5" spans="1:16">
      <c r="A85" s="39">
        <v>298</v>
      </c>
      <c r="B85" s="39">
        <v>0</v>
      </c>
      <c r="C85" s="40">
        <v>100</v>
      </c>
      <c r="D85" s="40">
        <v>24</v>
      </c>
      <c r="E85">
        <v>95.78</v>
      </c>
      <c r="F85">
        <v>38.32</v>
      </c>
      <c r="G85" s="41">
        <v>0.4</v>
      </c>
      <c r="H85" s="39">
        <v>14</v>
      </c>
      <c r="I85" s="40">
        <v>0.45</v>
      </c>
      <c r="J85" s="45">
        <v>0</v>
      </c>
      <c r="K85" s="45">
        <v>5.96</v>
      </c>
      <c r="L85" s="39">
        <v>1377</v>
      </c>
      <c r="M85">
        <v>0</v>
      </c>
      <c r="N85" s="39">
        <v>590</v>
      </c>
      <c r="O85">
        <v>0</v>
      </c>
      <c r="P85" s="40">
        <v>40</v>
      </c>
    </row>
    <row r="86" ht="14.5" spans="1:16">
      <c r="A86" s="39">
        <v>427</v>
      </c>
      <c r="B86" s="39">
        <v>0</v>
      </c>
      <c r="C86" s="40">
        <v>40</v>
      </c>
      <c r="D86" s="40">
        <v>24</v>
      </c>
      <c r="E86">
        <v>106.75</v>
      </c>
      <c r="F86">
        <v>42.7</v>
      </c>
      <c r="G86" s="41">
        <v>0.4</v>
      </c>
      <c r="H86" s="39">
        <v>8</v>
      </c>
      <c r="I86" s="40">
        <v>0.35</v>
      </c>
      <c r="J86" s="45">
        <v>0</v>
      </c>
      <c r="K86" s="45">
        <v>0</v>
      </c>
      <c r="L86" s="39">
        <v>1276.8</v>
      </c>
      <c r="M86">
        <v>0</v>
      </c>
      <c r="N86" s="39">
        <v>547</v>
      </c>
      <c r="O86">
        <v>0</v>
      </c>
      <c r="P86" s="40">
        <v>33.86</v>
      </c>
    </row>
    <row r="87" ht="14.5" spans="1:16">
      <c r="A87" s="39">
        <v>427</v>
      </c>
      <c r="B87" s="39">
        <v>0</v>
      </c>
      <c r="C87" s="40">
        <v>60</v>
      </c>
      <c r="D87" s="40">
        <v>24</v>
      </c>
      <c r="E87">
        <v>106.75</v>
      </c>
      <c r="F87">
        <v>42.7</v>
      </c>
      <c r="G87" s="41">
        <v>0.4</v>
      </c>
      <c r="H87" s="39">
        <v>8</v>
      </c>
      <c r="I87" s="40">
        <v>0.35</v>
      </c>
      <c r="J87" s="45">
        <v>0</v>
      </c>
      <c r="K87" s="45">
        <v>0</v>
      </c>
      <c r="L87" s="39">
        <v>1276.8</v>
      </c>
      <c r="M87">
        <v>0</v>
      </c>
      <c r="N87" s="39">
        <v>547</v>
      </c>
      <c r="O87">
        <v>0</v>
      </c>
      <c r="P87" s="40">
        <v>35.2</v>
      </c>
    </row>
    <row r="88" ht="14.5" spans="1:16">
      <c r="A88" s="39">
        <v>427</v>
      </c>
      <c r="B88" s="39">
        <v>0</v>
      </c>
      <c r="C88" s="40">
        <v>80</v>
      </c>
      <c r="D88" s="40">
        <v>24</v>
      </c>
      <c r="E88">
        <v>106.75</v>
      </c>
      <c r="F88">
        <v>42.7</v>
      </c>
      <c r="G88" s="41">
        <v>0.4</v>
      </c>
      <c r="H88" s="39">
        <v>8</v>
      </c>
      <c r="I88" s="40">
        <v>0.35</v>
      </c>
      <c r="J88" s="45">
        <v>0</v>
      </c>
      <c r="K88" s="45">
        <v>0</v>
      </c>
      <c r="L88" s="39">
        <v>1276.8</v>
      </c>
      <c r="M88">
        <v>0</v>
      </c>
      <c r="N88" s="39">
        <v>547</v>
      </c>
      <c r="O88">
        <v>0</v>
      </c>
      <c r="P88" s="40">
        <v>38.17</v>
      </c>
    </row>
    <row r="89" ht="14.5" spans="1:16">
      <c r="A89" s="39">
        <v>427</v>
      </c>
      <c r="B89" s="39">
        <v>0</v>
      </c>
      <c r="C89" s="40">
        <v>100</v>
      </c>
      <c r="D89" s="40">
        <v>24</v>
      </c>
      <c r="E89">
        <v>106.75</v>
      </c>
      <c r="F89">
        <v>42.7</v>
      </c>
      <c r="G89" s="41">
        <v>0.4</v>
      </c>
      <c r="H89" s="39">
        <v>8</v>
      </c>
      <c r="I89" s="40">
        <v>0.35</v>
      </c>
      <c r="J89" s="45">
        <v>0</v>
      </c>
      <c r="K89" s="45">
        <v>0</v>
      </c>
      <c r="L89" s="39">
        <v>1276.8</v>
      </c>
      <c r="M89">
        <v>0</v>
      </c>
      <c r="N89" s="39">
        <v>547</v>
      </c>
      <c r="O89">
        <v>0</v>
      </c>
      <c r="P89" s="40">
        <v>38.88</v>
      </c>
    </row>
    <row r="90" ht="14.5" spans="1:16">
      <c r="A90" s="39">
        <v>427</v>
      </c>
      <c r="B90" s="39">
        <v>0</v>
      </c>
      <c r="C90" s="40">
        <v>40</v>
      </c>
      <c r="D90" s="40">
        <v>24</v>
      </c>
      <c r="E90">
        <v>106.75</v>
      </c>
      <c r="F90">
        <v>42.7</v>
      </c>
      <c r="G90" s="41">
        <v>0.4</v>
      </c>
      <c r="H90" s="39">
        <v>10</v>
      </c>
      <c r="I90" s="40">
        <v>0.35</v>
      </c>
      <c r="J90" s="45">
        <v>0</v>
      </c>
      <c r="K90" s="45">
        <v>0</v>
      </c>
      <c r="L90" s="39">
        <v>1276.8</v>
      </c>
      <c r="M90">
        <v>0</v>
      </c>
      <c r="N90" s="39">
        <v>547</v>
      </c>
      <c r="O90">
        <v>0</v>
      </c>
      <c r="P90" s="40">
        <v>37.63</v>
      </c>
    </row>
    <row r="91" ht="14.5" spans="1:16">
      <c r="A91" s="39">
        <v>427</v>
      </c>
      <c r="B91" s="39">
        <v>0</v>
      </c>
      <c r="C91" s="40">
        <v>60</v>
      </c>
      <c r="D91" s="40">
        <v>24</v>
      </c>
      <c r="E91">
        <v>106.75</v>
      </c>
      <c r="F91">
        <v>42.7</v>
      </c>
      <c r="G91" s="41">
        <v>0.4</v>
      </c>
      <c r="H91" s="39">
        <v>10</v>
      </c>
      <c r="I91" s="40">
        <v>0.35</v>
      </c>
      <c r="J91" s="45">
        <v>0</v>
      </c>
      <c r="K91" s="45">
        <v>0</v>
      </c>
      <c r="L91" s="39">
        <v>1276.8</v>
      </c>
      <c r="M91">
        <v>0</v>
      </c>
      <c r="N91" s="39">
        <v>547</v>
      </c>
      <c r="O91">
        <v>0</v>
      </c>
      <c r="P91" s="40">
        <v>39.21</v>
      </c>
    </row>
    <row r="92" ht="14.5" spans="1:16">
      <c r="A92" s="39">
        <v>427</v>
      </c>
      <c r="B92" s="39">
        <v>0</v>
      </c>
      <c r="C92" s="40">
        <v>80</v>
      </c>
      <c r="D92" s="40">
        <v>24</v>
      </c>
      <c r="E92">
        <v>106.75</v>
      </c>
      <c r="F92">
        <v>42.7</v>
      </c>
      <c r="G92" s="41">
        <v>0.4</v>
      </c>
      <c r="H92" s="39">
        <v>10</v>
      </c>
      <c r="I92" s="40">
        <v>0.35</v>
      </c>
      <c r="J92" s="45">
        <v>0</v>
      </c>
      <c r="K92" s="45">
        <v>0</v>
      </c>
      <c r="L92" s="39">
        <v>1276.8</v>
      </c>
      <c r="M92">
        <v>0</v>
      </c>
      <c r="N92" s="39">
        <v>547</v>
      </c>
      <c r="O92">
        <v>0</v>
      </c>
      <c r="P92" s="40">
        <v>42.11</v>
      </c>
    </row>
    <row r="93" ht="14.5" spans="1:16">
      <c r="A93" s="39">
        <v>427</v>
      </c>
      <c r="B93" s="39">
        <v>0</v>
      </c>
      <c r="C93" s="40">
        <v>100</v>
      </c>
      <c r="D93" s="40">
        <v>24</v>
      </c>
      <c r="E93">
        <v>106.75</v>
      </c>
      <c r="F93">
        <v>42.7</v>
      </c>
      <c r="G93" s="41">
        <v>0.4</v>
      </c>
      <c r="H93" s="39">
        <v>10</v>
      </c>
      <c r="I93" s="40">
        <v>0.35</v>
      </c>
      <c r="J93" s="45">
        <v>0</v>
      </c>
      <c r="K93" s="45">
        <v>0</v>
      </c>
      <c r="L93" s="39">
        <v>1276.8</v>
      </c>
      <c r="M93">
        <v>0</v>
      </c>
      <c r="N93" s="39">
        <v>547</v>
      </c>
      <c r="O93">
        <v>0</v>
      </c>
      <c r="P93" s="40">
        <v>43.5</v>
      </c>
    </row>
    <row r="94" ht="14.5" spans="1:16">
      <c r="A94" s="39">
        <v>427</v>
      </c>
      <c r="B94" s="39">
        <v>0</v>
      </c>
      <c r="C94" s="40">
        <v>40</v>
      </c>
      <c r="D94" s="40">
        <v>24</v>
      </c>
      <c r="E94">
        <v>106.75</v>
      </c>
      <c r="F94">
        <v>42.7</v>
      </c>
      <c r="G94" s="41">
        <v>0.4</v>
      </c>
      <c r="H94" s="39">
        <v>12</v>
      </c>
      <c r="I94" s="40">
        <v>0.35</v>
      </c>
      <c r="J94" s="45">
        <v>0</v>
      </c>
      <c r="K94" s="45">
        <v>0</v>
      </c>
      <c r="L94" s="39">
        <v>1276.8</v>
      </c>
      <c r="M94">
        <v>0</v>
      </c>
      <c r="N94" s="39">
        <v>547</v>
      </c>
      <c r="O94">
        <v>0</v>
      </c>
      <c r="P94" s="40">
        <v>40.33</v>
      </c>
    </row>
    <row r="95" ht="14.5" spans="1:16">
      <c r="A95" s="39">
        <v>427</v>
      </c>
      <c r="B95" s="39">
        <v>0</v>
      </c>
      <c r="C95" s="40">
        <v>60</v>
      </c>
      <c r="D95" s="40">
        <v>24</v>
      </c>
      <c r="E95">
        <v>106.75</v>
      </c>
      <c r="F95">
        <v>42.7</v>
      </c>
      <c r="G95" s="41">
        <v>0.4</v>
      </c>
      <c r="H95" s="39">
        <v>12</v>
      </c>
      <c r="I95" s="40">
        <v>0.35</v>
      </c>
      <c r="J95" s="45">
        <v>0</v>
      </c>
      <c r="K95" s="45">
        <v>0</v>
      </c>
      <c r="L95" s="39">
        <v>1276.8</v>
      </c>
      <c r="M95">
        <v>0</v>
      </c>
      <c r="N95" s="39">
        <v>547</v>
      </c>
      <c r="O95">
        <v>0</v>
      </c>
      <c r="P95" s="40">
        <v>41.82</v>
      </c>
    </row>
    <row r="96" ht="14.5" spans="1:16">
      <c r="A96" s="39">
        <v>427</v>
      </c>
      <c r="B96" s="39">
        <v>0</v>
      </c>
      <c r="C96" s="40">
        <v>80</v>
      </c>
      <c r="D96" s="40">
        <v>24</v>
      </c>
      <c r="E96">
        <v>106.75</v>
      </c>
      <c r="F96">
        <v>42.7</v>
      </c>
      <c r="G96" s="41">
        <v>0.4</v>
      </c>
      <c r="H96" s="39">
        <v>12</v>
      </c>
      <c r="I96" s="40">
        <v>0.35</v>
      </c>
      <c r="J96" s="45">
        <v>0</v>
      </c>
      <c r="K96" s="45">
        <v>0</v>
      </c>
      <c r="L96" s="39">
        <v>1276.8</v>
      </c>
      <c r="M96">
        <v>0</v>
      </c>
      <c r="N96" s="39">
        <v>547</v>
      </c>
      <c r="O96">
        <v>0</v>
      </c>
      <c r="P96" s="40">
        <v>44.47</v>
      </c>
    </row>
    <row r="97" ht="14.5" spans="1:16">
      <c r="A97" s="39">
        <v>427</v>
      </c>
      <c r="B97" s="39">
        <v>0</v>
      </c>
      <c r="C97" s="40">
        <v>100</v>
      </c>
      <c r="D97" s="40">
        <v>24</v>
      </c>
      <c r="E97">
        <v>106.75</v>
      </c>
      <c r="F97">
        <v>42.7</v>
      </c>
      <c r="G97" s="41">
        <v>0.4</v>
      </c>
      <c r="H97" s="39">
        <v>12</v>
      </c>
      <c r="I97" s="40">
        <v>0.35</v>
      </c>
      <c r="J97" s="45">
        <v>0</v>
      </c>
      <c r="K97" s="45">
        <v>0</v>
      </c>
      <c r="L97" s="39">
        <v>1276.8</v>
      </c>
      <c r="M97">
        <v>0</v>
      </c>
      <c r="N97" s="39">
        <v>547</v>
      </c>
      <c r="O97">
        <v>0</v>
      </c>
      <c r="P97" s="40">
        <v>44.89</v>
      </c>
    </row>
    <row r="98" ht="14.5" spans="1:16">
      <c r="A98" s="39">
        <v>427</v>
      </c>
      <c r="B98" s="39">
        <v>0</v>
      </c>
      <c r="C98" s="40">
        <v>40</v>
      </c>
      <c r="D98" s="40">
        <v>24</v>
      </c>
      <c r="E98">
        <v>106.75</v>
      </c>
      <c r="F98">
        <v>42.7</v>
      </c>
      <c r="G98" s="41">
        <v>0.4</v>
      </c>
      <c r="H98" s="39">
        <v>14</v>
      </c>
      <c r="I98" s="40">
        <v>0.35</v>
      </c>
      <c r="J98" s="45">
        <v>0</v>
      </c>
      <c r="K98" s="45">
        <v>0</v>
      </c>
      <c r="L98" s="39">
        <v>1276.8</v>
      </c>
      <c r="M98">
        <v>0</v>
      </c>
      <c r="N98" s="39">
        <v>547</v>
      </c>
      <c r="O98">
        <v>0</v>
      </c>
      <c r="P98" s="40">
        <v>42.57</v>
      </c>
    </row>
    <row r="99" ht="14.5" spans="1:16">
      <c r="A99" s="39">
        <v>427</v>
      </c>
      <c r="B99" s="39">
        <v>0</v>
      </c>
      <c r="C99" s="40">
        <v>60</v>
      </c>
      <c r="D99" s="40">
        <v>24</v>
      </c>
      <c r="E99">
        <v>106.75</v>
      </c>
      <c r="F99">
        <v>42.7</v>
      </c>
      <c r="G99" s="41">
        <v>0.4</v>
      </c>
      <c r="H99" s="39">
        <v>14</v>
      </c>
      <c r="I99" s="40">
        <v>0.35</v>
      </c>
      <c r="J99" s="45">
        <v>0</v>
      </c>
      <c r="K99" s="45">
        <v>0</v>
      </c>
      <c r="L99" s="39">
        <v>1276.8</v>
      </c>
      <c r="M99">
        <v>0</v>
      </c>
      <c r="N99" s="39">
        <v>547</v>
      </c>
      <c r="O99">
        <v>0</v>
      </c>
      <c r="P99" s="40">
        <v>43.54</v>
      </c>
    </row>
    <row r="100" ht="14.5" spans="1:16">
      <c r="A100" s="39">
        <v>427</v>
      </c>
      <c r="B100" s="39">
        <v>0</v>
      </c>
      <c r="C100" s="40">
        <v>80</v>
      </c>
      <c r="D100" s="40">
        <v>24</v>
      </c>
      <c r="E100">
        <v>106.75</v>
      </c>
      <c r="F100">
        <v>42.7</v>
      </c>
      <c r="G100" s="41">
        <v>0.4</v>
      </c>
      <c r="H100" s="39">
        <v>14</v>
      </c>
      <c r="I100" s="40">
        <v>0.35</v>
      </c>
      <c r="J100" s="45">
        <v>0</v>
      </c>
      <c r="K100" s="45">
        <v>0</v>
      </c>
      <c r="L100" s="39">
        <v>1276.8</v>
      </c>
      <c r="M100">
        <v>0</v>
      </c>
      <c r="N100" s="39">
        <v>547</v>
      </c>
      <c r="O100">
        <v>0</v>
      </c>
      <c r="P100" s="40">
        <v>46.23</v>
      </c>
    </row>
    <row r="101" ht="14.5" spans="1:16">
      <c r="A101" s="39">
        <v>427</v>
      </c>
      <c r="B101" s="39">
        <v>0</v>
      </c>
      <c r="C101" s="40">
        <v>80</v>
      </c>
      <c r="D101" s="40">
        <v>24</v>
      </c>
      <c r="E101">
        <v>106.75</v>
      </c>
      <c r="F101">
        <v>42.7</v>
      </c>
      <c r="G101" s="41">
        <v>0.4</v>
      </c>
      <c r="H101" s="39">
        <v>14</v>
      </c>
      <c r="I101" s="40">
        <v>0.35</v>
      </c>
      <c r="J101" s="45">
        <v>0</v>
      </c>
      <c r="K101" s="45">
        <v>0</v>
      </c>
      <c r="L101" s="39">
        <v>1276.8</v>
      </c>
      <c r="M101">
        <v>0</v>
      </c>
      <c r="N101" s="39">
        <v>547</v>
      </c>
      <c r="O101">
        <v>0</v>
      </c>
      <c r="P101" s="40">
        <v>46.86</v>
      </c>
    </row>
    <row r="102" ht="14.5" spans="1:16">
      <c r="A102" s="39">
        <v>427</v>
      </c>
      <c r="B102" s="39">
        <v>0</v>
      </c>
      <c r="C102" s="40">
        <v>80</v>
      </c>
      <c r="D102" s="40">
        <v>24</v>
      </c>
      <c r="E102">
        <v>106.75</v>
      </c>
      <c r="F102">
        <v>42.7</v>
      </c>
      <c r="G102" s="41">
        <v>0.4</v>
      </c>
      <c r="H102" s="39">
        <v>14</v>
      </c>
      <c r="I102" s="40">
        <v>0.35</v>
      </c>
      <c r="J102" s="45">
        <v>0</v>
      </c>
      <c r="K102" s="45">
        <v>0</v>
      </c>
      <c r="L102" s="39">
        <v>1276.8</v>
      </c>
      <c r="M102">
        <v>0</v>
      </c>
      <c r="N102" s="39">
        <v>547</v>
      </c>
      <c r="O102">
        <v>0</v>
      </c>
      <c r="P102" s="40">
        <v>47.58</v>
      </c>
    </row>
    <row r="103" ht="14.5" spans="1:16">
      <c r="A103" s="39">
        <v>427</v>
      </c>
      <c r="B103" s="39">
        <v>0</v>
      </c>
      <c r="C103" s="40">
        <v>80</v>
      </c>
      <c r="D103" s="40">
        <v>24</v>
      </c>
      <c r="E103">
        <v>106.75</v>
      </c>
      <c r="F103">
        <v>42.7</v>
      </c>
      <c r="G103" s="41">
        <v>0.4</v>
      </c>
      <c r="H103" s="39">
        <v>14</v>
      </c>
      <c r="I103" s="40">
        <v>0.35</v>
      </c>
      <c r="J103" s="45">
        <v>0</v>
      </c>
      <c r="K103" s="45">
        <v>0</v>
      </c>
      <c r="L103" s="39">
        <v>1276.8</v>
      </c>
      <c r="M103">
        <v>0</v>
      </c>
      <c r="N103" s="39">
        <v>547</v>
      </c>
      <c r="O103">
        <v>0</v>
      </c>
      <c r="P103" s="40">
        <v>47.92</v>
      </c>
    </row>
    <row r="104" ht="14.5" spans="1:16">
      <c r="A104" s="39">
        <v>427</v>
      </c>
      <c r="B104" s="39">
        <v>0</v>
      </c>
      <c r="C104" s="40">
        <v>100</v>
      </c>
      <c r="D104" s="40">
        <v>24</v>
      </c>
      <c r="E104">
        <v>106.75</v>
      </c>
      <c r="F104">
        <v>42.7</v>
      </c>
      <c r="G104" s="41">
        <v>0.4</v>
      </c>
      <c r="H104" s="39">
        <v>14</v>
      </c>
      <c r="I104" s="40">
        <v>0.35</v>
      </c>
      <c r="J104" s="45">
        <v>0</v>
      </c>
      <c r="K104" s="45">
        <v>0</v>
      </c>
      <c r="L104" s="39">
        <v>1276.8</v>
      </c>
      <c r="M104">
        <v>0</v>
      </c>
      <c r="N104" s="39">
        <v>547</v>
      </c>
      <c r="O104">
        <v>0</v>
      </c>
      <c r="P104" s="40">
        <v>46.86</v>
      </c>
    </row>
    <row r="105" ht="14.5" spans="1:16">
      <c r="A105" s="39">
        <v>427</v>
      </c>
      <c r="B105" s="39">
        <v>0</v>
      </c>
      <c r="C105" s="40">
        <v>40</v>
      </c>
      <c r="D105" s="40">
        <v>24</v>
      </c>
      <c r="E105">
        <v>106.75</v>
      </c>
      <c r="F105">
        <v>42.7</v>
      </c>
      <c r="G105" s="41">
        <v>0.4</v>
      </c>
      <c r="H105" s="39">
        <v>16</v>
      </c>
      <c r="I105" s="40">
        <v>0.35</v>
      </c>
      <c r="J105" s="45">
        <v>0</v>
      </c>
      <c r="K105" s="45">
        <v>0</v>
      </c>
      <c r="L105" s="39">
        <v>1276.8</v>
      </c>
      <c r="M105">
        <v>0</v>
      </c>
      <c r="N105" s="39">
        <v>547</v>
      </c>
      <c r="O105">
        <v>0</v>
      </c>
      <c r="P105" s="40">
        <v>40.73</v>
      </c>
    </row>
    <row r="106" ht="14.5" spans="1:16">
      <c r="A106" s="39">
        <v>427</v>
      </c>
      <c r="B106" s="39">
        <v>0</v>
      </c>
      <c r="C106" s="40">
        <v>60</v>
      </c>
      <c r="D106" s="40">
        <v>24</v>
      </c>
      <c r="E106">
        <v>106.75</v>
      </c>
      <c r="F106">
        <v>42.7</v>
      </c>
      <c r="G106" s="41">
        <v>0.4</v>
      </c>
      <c r="H106" s="39">
        <v>16</v>
      </c>
      <c r="I106" s="40">
        <v>0.35</v>
      </c>
      <c r="J106" s="45">
        <v>0</v>
      </c>
      <c r="K106" s="45">
        <v>0</v>
      </c>
      <c r="L106" s="39">
        <v>1276.8</v>
      </c>
      <c r="M106">
        <v>0</v>
      </c>
      <c r="N106" s="39">
        <v>547</v>
      </c>
      <c r="O106">
        <v>0</v>
      </c>
      <c r="P106" s="40">
        <v>41.93</v>
      </c>
    </row>
    <row r="107" ht="14.5" spans="1:16">
      <c r="A107" s="39">
        <v>427</v>
      </c>
      <c r="B107" s="39">
        <v>0</v>
      </c>
      <c r="C107" s="40">
        <v>80</v>
      </c>
      <c r="D107" s="40">
        <v>24</v>
      </c>
      <c r="E107">
        <v>106.75</v>
      </c>
      <c r="F107">
        <v>42.7</v>
      </c>
      <c r="G107" s="41">
        <v>0.4</v>
      </c>
      <c r="H107" s="39">
        <v>16</v>
      </c>
      <c r="I107" s="40">
        <v>0.35</v>
      </c>
      <c r="J107" s="45">
        <v>0</v>
      </c>
      <c r="K107" s="45">
        <v>0</v>
      </c>
      <c r="L107" s="39">
        <v>1276.8</v>
      </c>
      <c r="M107">
        <v>0</v>
      </c>
      <c r="N107" s="39">
        <v>547</v>
      </c>
      <c r="O107">
        <v>0</v>
      </c>
      <c r="P107" s="40">
        <v>44.67</v>
      </c>
    </row>
    <row r="108" ht="14.5" spans="1:16">
      <c r="A108" s="39">
        <v>427</v>
      </c>
      <c r="B108" s="39">
        <v>0</v>
      </c>
      <c r="C108" s="40">
        <v>100</v>
      </c>
      <c r="D108" s="40">
        <v>24</v>
      </c>
      <c r="E108">
        <v>106.75</v>
      </c>
      <c r="F108">
        <v>42.7</v>
      </c>
      <c r="G108" s="41">
        <v>0.4</v>
      </c>
      <c r="H108" s="39">
        <v>16</v>
      </c>
      <c r="I108" s="40">
        <v>0.35</v>
      </c>
      <c r="J108" s="45">
        <v>0</v>
      </c>
      <c r="K108" s="45">
        <v>0</v>
      </c>
      <c r="L108" s="39">
        <v>1276.8</v>
      </c>
      <c r="M108">
        <v>0</v>
      </c>
      <c r="N108" s="39">
        <v>547</v>
      </c>
      <c r="O108">
        <v>0</v>
      </c>
      <c r="P108" s="40">
        <v>45.37</v>
      </c>
    </row>
    <row r="109" ht="14.5" spans="1:16">
      <c r="A109" s="39">
        <v>427</v>
      </c>
      <c r="B109" s="39">
        <v>0</v>
      </c>
      <c r="C109" s="40">
        <v>80</v>
      </c>
      <c r="D109" s="40">
        <v>24</v>
      </c>
      <c r="E109">
        <v>76.25</v>
      </c>
      <c r="F109">
        <v>30.5</v>
      </c>
      <c r="G109" s="41">
        <v>0.4</v>
      </c>
      <c r="H109" s="39">
        <v>14</v>
      </c>
      <c r="I109" s="40">
        <v>0.25</v>
      </c>
      <c r="J109" s="45">
        <v>0</v>
      </c>
      <c r="K109" s="45">
        <v>0</v>
      </c>
      <c r="L109" s="39">
        <v>1276.8</v>
      </c>
      <c r="M109">
        <v>0</v>
      </c>
      <c r="N109" s="39">
        <v>547</v>
      </c>
      <c r="O109">
        <v>0</v>
      </c>
      <c r="P109" s="40">
        <v>42.37</v>
      </c>
    </row>
    <row r="110" ht="14.5" spans="1:16">
      <c r="A110" s="39">
        <v>427</v>
      </c>
      <c r="B110" s="39">
        <v>0</v>
      </c>
      <c r="C110" s="40">
        <v>80</v>
      </c>
      <c r="D110" s="40">
        <v>24</v>
      </c>
      <c r="E110">
        <v>91.5</v>
      </c>
      <c r="F110">
        <v>36.6</v>
      </c>
      <c r="G110" s="41">
        <v>0.4</v>
      </c>
      <c r="H110" s="39">
        <v>14</v>
      </c>
      <c r="I110" s="40">
        <v>0.3</v>
      </c>
      <c r="J110" s="45">
        <v>0</v>
      </c>
      <c r="K110" s="45">
        <v>0</v>
      </c>
      <c r="L110" s="39">
        <v>1276.8</v>
      </c>
      <c r="M110">
        <v>0</v>
      </c>
      <c r="N110" s="39">
        <v>547</v>
      </c>
      <c r="O110">
        <v>0</v>
      </c>
      <c r="P110" s="40">
        <v>44.67</v>
      </c>
    </row>
    <row r="111" ht="14.5" spans="1:16">
      <c r="A111" s="39">
        <v>427</v>
      </c>
      <c r="B111" s="39">
        <v>0</v>
      </c>
      <c r="C111" s="40">
        <v>80</v>
      </c>
      <c r="D111" s="40">
        <v>24</v>
      </c>
      <c r="E111">
        <v>122</v>
      </c>
      <c r="F111">
        <v>48.8</v>
      </c>
      <c r="G111" s="41">
        <v>0.4</v>
      </c>
      <c r="H111" s="39">
        <v>14</v>
      </c>
      <c r="I111" s="40">
        <v>0.4</v>
      </c>
      <c r="J111" s="45">
        <v>0</v>
      </c>
      <c r="K111" s="45">
        <v>0</v>
      </c>
      <c r="L111" s="39">
        <v>1276.8</v>
      </c>
      <c r="M111">
        <v>0</v>
      </c>
      <c r="N111" s="39">
        <v>547</v>
      </c>
      <c r="O111">
        <v>0</v>
      </c>
      <c r="P111" s="40">
        <v>46.16</v>
      </c>
    </row>
    <row r="112" ht="14.5" spans="1:16">
      <c r="A112" s="39">
        <v>427</v>
      </c>
      <c r="B112" s="39">
        <v>0</v>
      </c>
      <c r="C112" s="40">
        <v>80</v>
      </c>
      <c r="D112" s="40">
        <v>24</v>
      </c>
      <c r="E112">
        <v>137.25</v>
      </c>
      <c r="F112">
        <v>54.9</v>
      </c>
      <c r="G112" s="41">
        <v>0.4</v>
      </c>
      <c r="H112" s="39">
        <v>14</v>
      </c>
      <c r="I112" s="40">
        <v>0.45</v>
      </c>
      <c r="J112" s="45">
        <v>0</v>
      </c>
      <c r="K112" s="45">
        <v>0</v>
      </c>
      <c r="L112" s="39">
        <v>1276.8</v>
      </c>
      <c r="M112">
        <v>0</v>
      </c>
      <c r="N112" s="39">
        <v>547</v>
      </c>
      <c r="O112">
        <v>0</v>
      </c>
      <c r="P112" s="40">
        <v>45.87</v>
      </c>
    </row>
    <row r="113" ht="14.5" spans="1:16">
      <c r="A113" s="39">
        <v>427</v>
      </c>
      <c r="B113" s="39">
        <v>0</v>
      </c>
      <c r="C113" s="40">
        <v>80</v>
      </c>
      <c r="D113" s="40">
        <v>24</v>
      </c>
      <c r="E113">
        <v>114.96</v>
      </c>
      <c r="F113">
        <v>34.49</v>
      </c>
      <c r="G113" s="41">
        <v>0.3</v>
      </c>
      <c r="H113" s="39">
        <v>14</v>
      </c>
      <c r="I113" s="40">
        <v>0.35</v>
      </c>
      <c r="J113" s="45">
        <v>0</v>
      </c>
      <c r="K113" s="45">
        <v>0</v>
      </c>
      <c r="L113" s="39">
        <v>1276.8</v>
      </c>
      <c r="M113">
        <v>0</v>
      </c>
      <c r="N113" s="39">
        <v>547</v>
      </c>
      <c r="O113">
        <v>0</v>
      </c>
      <c r="P113" s="40">
        <v>45.65</v>
      </c>
    </row>
    <row r="114" ht="14.5" spans="1:16">
      <c r="A114" s="39">
        <v>427</v>
      </c>
      <c r="B114" s="39">
        <v>0</v>
      </c>
      <c r="C114" s="40">
        <v>80</v>
      </c>
      <c r="D114" s="40">
        <v>24</v>
      </c>
      <c r="E114">
        <v>110.7</v>
      </c>
      <c r="F114">
        <v>38.75</v>
      </c>
      <c r="G114" s="41">
        <v>0.35</v>
      </c>
      <c r="H114" s="39">
        <v>14</v>
      </c>
      <c r="I114" s="40">
        <v>0.35</v>
      </c>
      <c r="J114" s="45">
        <v>0</v>
      </c>
      <c r="K114" s="45">
        <v>0</v>
      </c>
      <c r="L114" s="39">
        <v>1276.8</v>
      </c>
      <c r="M114">
        <v>0</v>
      </c>
      <c r="N114" s="39">
        <v>547</v>
      </c>
      <c r="O114">
        <v>0</v>
      </c>
      <c r="P114" s="40">
        <v>46.16</v>
      </c>
    </row>
    <row r="115" ht="14.5" spans="1:16">
      <c r="A115" s="39">
        <v>427</v>
      </c>
      <c r="B115" s="39">
        <v>0</v>
      </c>
      <c r="C115" s="40">
        <v>80</v>
      </c>
      <c r="D115" s="40">
        <v>24</v>
      </c>
      <c r="E115">
        <v>103.06</v>
      </c>
      <c r="F115">
        <v>46.39</v>
      </c>
      <c r="G115" s="41">
        <v>0.45</v>
      </c>
      <c r="H115" s="39">
        <v>14</v>
      </c>
      <c r="I115" s="40">
        <v>0.35</v>
      </c>
      <c r="J115" s="45">
        <v>0</v>
      </c>
      <c r="K115" s="45">
        <v>0</v>
      </c>
      <c r="L115" s="39">
        <v>1276.8</v>
      </c>
      <c r="M115">
        <v>0</v>
      </c>
      <c r="N115" s="39">
        <v>547</v>
      </c>
      <c r="O115">
        <v>0</v>
      </c>
      <c r="P115" s="40">
        <v>45.57</v>
      </c>
    </row>
    <row r="116" ht="14.5" spans="1:16">
      <c r="A116" s="39">
        <v>427</v>
      </c>
      <c r="B116" s="39">
        <v>0</v>
      </c>
      <c r="C116" s="40">
        <v>80</v>
      </c>
      <c r="D116" s="40">
        <v>24</v>
      </c>
      <c r="E116">
        <v>99.63</v>
      </c>
      <c r="F116">
        <v>49.82</v>
      </c>
      <c r="G116" s="41">
        <v>0.5</v>
      </c>
      <c r="H116" s="39">
        <v>14</v>
      </c>
      <c r="I116" s="40">
        <v>0.35</v>
      </c>
      <c r="J116" s="45">
        <v>0</v>
      </c>
      <c r="K116" s="45">
        <v>0</v>
      </c>
      <c r="L116" s="39">
        <v>1276.8</v>
      </c>
      <c r="M116">
        <v>0</v>
      </c>
      <c r="N116" s="39">
        <v>547</v>
      </c>
      <c r="O116">
        <v>0</v>
      </c>
      <c r="P116" s="40">
        <v>43.89</v>
      </c>
    </row>
    <row r="117" ht="14.5" spans="1:16">
      <c r="A117" s="39">
        <v>400</v>
      </c>
      <c r="B117" s="39">
        <v>0</v>
      </c>
      <c r="C117" s="40">
        <v>50</v>
      </c>
      <c r="D117" s="40">
        <v>48</v>
      </c>
      <c r="E117">
        <v>100</v>
      </c>
      <c r="F117">
        <v>40</v>
      </c>
      <c r="G117" s="41">
        <v>0.4</v>
      </c>
      <c r="H117" s="39">
        <v>18</v>
      </c>
      <c r="I117" s="40">
        <v>0.35</v>
      </c>
      <c r="J117" s="45">
        <v>35</v>
      </c>
      <c r="K117" s="45">
        <v>10.5</v>
      </c>
      <c r="L117" s="39">
        <v>875</v>
      </c>
      <c r="M117">
        <v>0</v>
      </c>
      <c r="N117" s="39">
        <v>875</v>
      </c>
      <c r="O117">
        <v>0</v>
      </c>
      <c r="P117" s="40">
        <v>21</v>
      </c>
    </row>
    <row r="118" ht="14.5" spans="1:16">
      <c r="A118" s="39">
        <v>400</v>
      </c>
      <c r="B118" s="39">
        <v>0</v>
      </c>
      <c r="C118" s="40">
        <v>50</v>
      </c>
      <c r="D118" s="40">
        <v>48</v>
      </c>
      <c r="E118">
        <v>100</v>
      </c>
      <c r="F118">
        <v>40</v>
      </c>
      <c r="G118" s="41">
        <v>0.4</v>
      </c>
      <c r="H118" s="39">
        <v>16</v>
      </c>
      <c r="I118" s="40">
        <v>0.35</v>
      </c>
      <c r="J118" s="45">
        <v>35</v>
      </c>
      <c r="K118" s="45">
        <v>10.5</v>
      </c>
      <c r="L118" s="39">
        <v>875</v>
      </c>
      <c r="M118">
        <v>0</v>
      </c>
      <c r="N118" s="39">
        <v>875</v>
      </c>
      <c r="O118">
        <v>0</v>
      </c>
      <c r="P118" s="40">
        <v>27.5</v>
      </c>
    </row>
    <row r="119" ht="14.5" spans="1:16">
      <c r="A119" s="39">
        <v>400</v>
      </c>
      <c r="B119" s="39">
        <v>0</v>
      </c>
      <c r="C119" s="40">
        <v>50</v>
      </c>
      <c r="D119" s="40">
        <v>48</v>
      </c>
      <c r="E119">
        <v>100</v>
      </c>
      <c r="F119">
        <v>40</v>
      </c>
      <c r="G119" s="41">
        <v>0.4</v>
      </c>
      <c r="H119" s="39">
        <v>12</v>
      </c>
      <c r="I119" s="40">
        <v>0.35</v>
      </c>
      <c r="J119" s="45">
        <v>35</v>
      </c>
      <c r="K119" s="45">
        <v>10.5</v>
      </c>
      <c r="L119" s="39">
        <v>875</v>
      </c>
      <c r="M119">
        <v>0</v>
      </c>
      <c r="N119" s="39">
        <v>875</v>
      </c>
      <c r="O119">
        <v>0</v>
      </c>
      <c r="P119" s="40">
        <v>18</v>
      </c>
    </row>
    <row r="120" ht="14.5" spans="1:16">
      <c r="A120" s="39">
        <v>400</v>
      </c>
      <c r="B120" s="39">
        <v>0</v>
      </c>
      <c r="C120" s="40">
        <v>50</v>
      </c>
      <c r="D120" s="40">
        <v>48</v>
      </c>
      <c r="E120">
        <v>128.57</v>
      </c>
      <c r="F120">
        <v>51.43</v>
      </c>
      <c r="G120" s="41">
        <v>0.4</v>
      </c>
      <c r="H120" s="39">
        <v>16</v>
      </c>
      <c r="I120" s="40">
        <v>0.45</v>
      </c>
      <c r="J120" s="45">
        <v>35</v>
      </c>
      <c r="K120" s="45">
        <v>10.5</v>
      </c>
      <c r="L120" s="39">
        <v>875</v>
      </c>
      <c r="M120">
        <v>0</v>
      </c>
      <c r="N120" s="39">
        <v>875</v>
      </c>
      <c r="O120">
        <v>0</v>
      </c>
      <c r="P120" s="40">
        <v>30</v>
      </c>
    </row>
    <row r="121" ht="14.5" spans="1:16">
      <c r="A121" s="39">
        <v>400</v>
      </c>
      <c r="B121" s="39">
        <v>0</v>
      </c>
      <c r="C121" s="40">
        <v>50</v>
      </c>
      <c r="D121" s="40">
        <v>48</v>
      </c>
      <c r="E121">
        <v>114.28</v>
      </c>
      <c r="F121">
        <v>45.72</v>
      </c>
      <c r="G121" s="41">
        <v>0.4</v>
      </c>
      <c r="H121" s="39">
        <v>16</v>
      </c>
      <c r="I121" s="40">
        <v>0.4</v>
      </c>
      <c r="J121" s="45">
        <v>35</v>
      </c>
      <c r="K121" s="45">
        <v>10.5</v>
      </c>
      <c r="L121" s="39">
        <v>875</v>
      </c>
      <c r="M121">
        <v>0</v>
      </c>
      <c r="N121" s="39">
        <v>875</v>
      </c>
      <c r="O121">
        <v>0</v>
      </c>
      <c r="P121" s="40">
        <v>32</v>
      </c>
    </row>
    <row r="122" ht="14.5" spans="1:16">
      <c r="A122" s="39">
        <v>400</v>
      </c>
      <c r="B122" s="39">
        <v>0</v>
      </c>
      <c r="C122" s="40">
        <v>50</v>
      </c>
      <c r="D122" s="40">
        <v>48</v>
      </c>
      <c r="E122">
        <v>100</v>
      </c>
      <c r="F122">
        <v>40</v>
      </c>
      <c r="G122" s="41">
        <v>0.4</v>
      </c>
      <c r="H122" s="39">
        <v>16</v>
      </c>
      <c r="I122" s="40">
        <v>0.35</v>
      </c>
      <c r="J122" s="45">
        <v>35</v>
      </c>
      <c r="K122" s="45">
        <v>10.5</v>
      </c>
      <c r="L122" s="39">
        <v>875</v>
      </c>
      <c r="M122">
        <v>0</v>
      </c>
      <c r="N122" s="39">
        <v>875</v>
      </c>
      <c r="O122">
        <v>0</v>
      </c>
      <c r="P122" s="40">
        <v>27</v>
      </c>
    </row>
    <row r="123" ht="14.5" spans="1:16">
      <c r="A123" s="42">
        <v>400</v>
      </c>
      <c r="B123" s="42">
        <v>0</v>
      </c>
      <c r="C123" s="43">
        <v>50</v>
      </c>
      <c r="D123" s="43">
        <v>48</v>
      </c>
      <c r="E123">
        <v>85.71</v>
      </c>
      <c r="F123">
        <v>34.29</v>
      </c>
      <c r="G123" s="44">
        <v>0.4</v>
      </c>
      <c r="H123" s="42">
        <v>16</v>
      </c>
      <c r="I123" s="43">
        <v>0.3</v>
      </c>
      <c r="J123" s="46">
        <v>35</v>
      </c>
      <c r="K123" s="46">
        <v>10.5</v>
      </c>
      <c r="L123" s="42">
        <v>875</v>
      </c>
      <c r="M123">
        <v>0</v>
      </c>
      <c r="N123" s="42">
        <v>875</v>
      </c>
      <c r="O123">
        <v>0</v>
      </c>
      <c r="P123" s="43">
        <v>17.5</v>
      </c>
    </row>
    <row r="124" ht="14.5" spans="1:16">
      <c r="A124" s="39">
        <v>400</v>
      </c>
      <c r="B124" s="39">
        <v>0</v>
      </c>
      <c r="C124" s="40">
        <v>50</v>
      </c>
      <c r="D124" s="40">
        <v>48</v>
      </c>
      <c r="E124">
        <v>107.69</v>
      </c>
      <c r="F124">
        <v>32.31</v>
      </c>
      <c r="G124" s="41">
        <v>0.3</v>
      </c>
      <c r="H124" s="39">
        <v>16</v>
      </c>
      <c r="I124" s="40">
        <v>0.35</v>
      </c>
      <c r="J124" s="45">
        <v>35</v>
      </c>
      <c r="K124" s="45">
        <v>10.5</v>
      </c>
      <c r="L124" s="39">
        <v>875</v>
      </c>
      <c r="M124">
        <v>0</v>
      </c>
      <c r="N124" s="39">
        <v>875</v>
      </c>
      <c r="O124">
        <v>0</v>
      </c>
      <c r="P124" s="40">
        <v>36</v>
      </c>
    </row>
    <row r="125" ht="14.5" spans="1:16">
      <c r="A125" s="39">
        <v>400</v>
      </c>
      <c r="B125" s="39">
        <v>0</v>
      </c>
      <c r="C125" s="40">
        <v>50</v>
      </c>
      <c r="D125" s="40">
        <v>48</v>
      </c>
      <c r="E125">
        <v>100</v>
      </c>
      <c r="F125">
        <v>40</v>
      </c>
      <c r="G125" s="41">
        <v>0.4</v>
      </c>
      <c r="H125" s="39">
        <v>16</v>
      </c>
      <c r="I125" s="40">
        <v>0.35</v>
      </c>
      <c r="J125" s="45">
        <v>35</v>
      </c>
      <c r="K125" s="45">
        <v>10.5</v>
      </c>
      <c r="L125" s="39">
        <v>875</v>
      </c>
      <c r="M125">
        <v>0</v>
      </c>
      <c r="N125" s="39">
        <v>875</v>
      </c>
      <c r="O125">
        <v>0</v>
      </c>
      <c r="P125" s="40">
        <v>27</v>
      </c>
    </row>
    <row r="126" ht="14.5" spans="1:16">
      <c r="A126" s="39">
        <v>400</v>
      </c>
      <c r="B126" s="39">
        <v>0</v>
      </c>
      <c r="C126" s="40">
        <v>50</v>
      </c>
      <c r="D126" s="40">
        <v>48</v>
      </c>
      <c r="E126">
        <v>93.33</v>
      </c>
      <c r="F126">
        <v>46.67</v>
      </c>
      <c r="G126" s="41">
        <v>0.5</v>
      </c>
      <c r="H126" s="39">
        <v>16</v>
      </c>
      <c r="I126" s="40">
        <v>0.35</v>
      </c>
      <c r="J126" s="45">
        <v>35</v>
      </c>
      <c r="K126" s="45">
        <v>10.5</v>
      </c>
      <c r="L126" s="39">
        <v>875</v>
      </c>
      <c r="M126">
        <v>0</v>
      </c>
      <c r="N126" s="39">
        <v>875</v>
      </c>
      <c r="O126">
        <v>0</v>
      </c>
      <c r="P126" s="40">
        <v>25</v>
      </c>
    </row>
    <row r="127" ht="14.5" spans="1:16">
      <c r="A127" s="39">
        <v>383</v>
      </c>
      <c r="B127" s="39">
        <v>0</v>
      </c>
      <c r="C127" s="40">
        <v>90</v>
      </c>
      <c r="D127" s="40">
        <v>24</v>
      </c>
      <c r="E127">
        <v>68.8</v>
      </c>
      <c r="F127">
        <v>46.1</v>
      </c>
      <c r="G127" s="41">
        <v>0.67</v>
      </c>
      <c r="H127" s="39">
        <v>8</v>
      </c>
      <c r="I127" s="40">
        <v>0.3</v>
      </c>
      <c r="J127" s="45">
        <v>0</v>
      </c>
      <c r="K127" s="45">
        <v>0</v>
      </c>
      <c r="L127" s="39">
        <v>1188</v>
      </c>
      <c r="M127">
        <v>0</v>
      </c>
      <c r="N127" s="39">
        <v>546</v>
      </c>
      <c r="O127">
        <v>0</v>
      </c>
      <c r="P127" s="40">
        <v>29.62</v>
      </c>
    </row>
    <row r="128" ht="14.5" spans="1:16">
      <c r="A128" s="39">
        <v>383</v>
      </c>
      <c r="B128" s="39">
        <v>0</v>
      </c>
      <c r="C128" s="40">
        <v>90</v>
      </c>
      <c r="D128" s="40">
        <v>24</v>
      </c>
      <c r="E128">
        <v>68.8</v>
      </c>
      <c r="F128">
        <v>46.1</v>
      </c>
      <c r="G128" s="41">
        <v>0.67</v>
      </c>
      <c r="H128" s="39">
        <v>10</v>
      </c>
      <c r="I128" s="40">
        <v>0.3</v>
      </c>
      <c r="J128" s="45">
        <v>0</v>
      </c>
      <c r="K128" s="45">
        <v>0</v>
      </c>
      <c r="L128" s="39">
        <v>1188</v>
      </c>
      <c r="M128">
        <v>0</v>
      </c>
      <c r="N128" s="39">
        <v>546</v>
      </c>
      <c r="O128">
        <v>0</v>
      </c>
      <c r="P128" s="40">
        <v>31.39</v>
      </c>
    </row>
    <row r="129" ht="14.5" spans="1:16">
      <c r="A129" s="39">
        <v>383</v>
      </c>
      <c r="B129" s="39">
        <v>0</v>
      </c>
      <c r="C129" s="40">
        <v>90</v>
      </c>
      <c r="D129" s="40">
        <v>24</v>
      </c>
      <c r="E129">
        <v>68.8</v>
      </c>
      <c r="F129">
        <v>46.1</v>
      </c>
      <c r="G129" s="41">
        <v>0.67</v>
      </c>
      <c r="H129" s="39">
        <v>12</v>
      </c>
      <c r="I129" s="40">
        <v>0.3</v>
      </c>
      <c r="J129" s="45">
        <v>0</v>
      </c>
      <c r="K129" s="45">
        <v>0</v>
      </c>
      <c r="L129" s="39">
        <v>1188</v>
      </c>
      <c r="M129">
        <v>0</v>
      </c>
      <c r="N129" s="39">
        <v>546</v>
      </c>
      <c r="O129">
        <v>0</v>
      </c>
      <c r="P129" s="40">
        <v>33.17</v>
      </c>
    </row>
    <row r="130" ht="14.5" spans="1:16">
      <c r="A130" s="39">
        <v>463.5</v>
      </c>
      <c r="B130" s="39">
        <v>0</v>
      </c>
      <c r="C130" s="40">
        <v>90</v>
      </c>
      <c r="D130" s="40">
        <v>24</v>
      </c>
      <c r="E130">
        <v>83.26</v>
      </c>
      <c r="F130">
        <v>55.79</v>
      </c>
      <c r="G130" s="41">
        <v>0.67</v>
      </c>
      <c r="H130" s="39">
        <v>8</v>
      </c>
      <c r="I130" s="40">
        <v>0.3</v>
      </c>
      <c r="J130" s="45">
        <v>0</v>
      </c>
      <c r="K130" s="45">
        <v>0</v>
      </c>
      <c r="L130" s="39">
        <v>1154.06</v>
      </c>
      <c r="M130">
        <v>0</v>
      </c>
      <c r="N130" s="39">
        <v>530.7</v>
      </c>
      <c r="O130">
        <v>0</v>
      </c>
      <c r="P130" s="40">
        <v>32.43</v>
      </c>
    </row>
    <row r="131" ht="14.5" spans="1:16">
      <c r="A131" s="39">
        <v>463.5</v>
      </c>
      <c r="B131" s="39">
        <v>0</v>
      </c>
      <c r="C131" s="40">
        <v>90</v>
      </c>
      <c r="D131" s="40">
        <v>24</v>
      </c>
      <c r="E131">
        <v>83.26</v>
      </c>
      <c r="F131">
        <v>55.79</v>
      </c>
      <c r="G131" s="41">
        <v>0.67</v>
      </c>
      <c r="H131" s="39">
        <v>10</v>
      </c>
      <c r="I131" s="40">
        <v>0.3</v>
      </c>
      <c r="J131" s="45">
        <v>0</v>
      </c>
      <c r="K131" s="45">
        <v>0</v>
      </c>
      <c r="L131" s="39">
        <v>1154.06</v>
      </c>
      <c r="M131">
        <v>0</v>
      </c>
      <c r="N131" s="39">
        <v>530.7</v>
      </c>
      <c r="O131">
        <v>0</v>
      </c>
      <c r="P131" s="40">
        <v>34.21</v>
      </c>
    </row>
    <row r="132" ht="14.5" spans="1:16">
      <c r="A132" s="39">
        <v>463.5</v>
      </c>
      <c r="B132" s="39">
        <v>0</v>
      </c>
      <c r="C132" s="40">
        <v>90</v>
      </c>
      <c r="D132" s="40">
        <v>24</v>
      </c>
      <c r="E132">
        <v>83.26</v>
      </c>
      <c r="F132">
        <v>55.79</v>
      </c>
      <c r="G132" s="41">
        <v>0.67</v>
      </c>
      <c r="H132" s="39">
        <v>12</v>
      </c>
      <c r="I132" s="40">
        <v>0.3</v>
      </c>
      <c r="J132" s="45">
        <v>0</v>
      </c>
      <c r="K132" s="45">
        <v>0</v>
      </c>
      <c r="L132" s="39">
        <v>1154.06</v>
      </c>
      <c r="M132">
        <v>0</v>
      </c>
      <c r="N132" s="39">
        <v>530.7</v>
      </c>
      <c r="O132">
        <v>0</v>
      </c>
      <c r="P132" s="40">
        <v>35.98</v>
      </c>
    </row>
    <row r="133" ht="14.5" spans="1:16">
      <c r="A133" s="39">
        <v>530</v>
      </c>
      <c r="B133" s="39">
        <v>0</v>
      </c>
      <c r="C133" s="40">
        <v>90</v>
      </c>
      <c r="D133" s="40">
        <v>24</v>
      </c>
      <c r="E133">
        <v>95.2</v>
      </c>
      <c r="F133">
        <v>63.8</v>
      </c>
      <c r="G133" s="41">
        <v>0.67</v>
      </c>
      <c r="H133" s="39">
        <v>8</v>
      </c>
      <c r="I133" s="40">
        <v>0.3</v>
      </c>
      <c r="J133" s="45">
        <v>0</v>
      </c>
      <c r="K133" s="45">
        <v>0</v>
      </c>
      <c r="L133" s="39">
        <v>1117</v>
      </c>
      <c r="M133">
        <v>0</v>
      </c>
      <c r="N133" s="39">
        <v>514</v>
      </c>
      <c r="O133">
        <v>0</v>
      </c>
      <c r="P133" s="40">
        <v>42.8</v>
      </c>
    </row>
    <row r="134" ht="14.5" spans="1:16">
      <c r="A134" s="39">
        <v>530</v>
      </c>
      <c r="B134" s="39">
        <v>0</v>
      </c>
      <c r="C134" s="40">
        <v>90</v>
      </c>
      <c r="D134" s="40">
        <v>24</v>
      </c>
      <c r="E134">
        <v>95.2</v>
      </c>
      <c r="F134">
        <v>63.8</v>
      </c>
      <c r="G134" s="41">
        <v>0.67</v>
      </c>
      <c r="H134" s="39">
        <v>10</v>
      </c>
      <c r="I134" s="40">
        <v>0.3</v>
      </c>
      <c r="J134" s="45">
        <v>0</v>
      </c>
      <c r="K134" s="45">
        <v>0</v>
      </c>
      <c r="L134" s="39">
        <v>1117</v>
      </c>
      <c r="M134">
        <v>0</v>
      </c>
      <c r="N134" s="39">
        <v>514</v>
      </c>
      <c r="O134">
        <v>0</v>
      </c>
      <c r="P134" s="40">
        <v>45.02</v>
      </c>
    </row>
    <row r="135" ht="14.5" spans="1:16">
      <c r="A135" s="39">
        <v>530</v>
      </c>
      <c r="B135" s="39">
        <v>0</v>
      </c>
      <c r="C135" s="40">
        <v>90</v>
      </c>
      <c r="D135" s="40">
        <v>24</v>
      </c>
      <c r="E135">
        <v>95.2</v>
      </c>
      <c r="F135">
        <v>63.8</v>
      </c>
      <c r="G135" s="41">
        <v>0.67</v>
      </c>
      <c r="H135" s="39">
        <v>12</v>
      </c>
      <c r="I135" s="40">
        <v>0.3</v>
      </c>
      <c r="J135" s="45">
        <v>0</v>
      </c>
      <c r="K135" s="45">
        <v>0</v>
      </c>
      <c r="L135" s="39">
        <v>1117</v>
      </c>
      <c r="M135">
        <v>0</v>
      </c>
      <c r="N135" s="39">
        <v>514</v>
      </c>
      <c r="O135">
        <v>0</v>
      </c>
      <c r="P135" s="40">
        <v>47.24</v>
      </c>
    </row>
    <row r="136" ht="14.5" spans="1:16">
      <c r="A136" s="39">
        <v>400</v>
      </c>
      <c r="B136" s="39">
        <v>0</v>
      </c>
      <c r="C136" s="40">
        <v>90</v>
      </c>
      <c r="D136" s="40">
        <v>6</v>
      </c>
      <c r="E136">
        <v>174.28</v>
      </c>
      <c r="F136">
        <v>69.72</v>
      </c>
      <c r="G136" s="41">
        <v>0.4</v>
      </c>
      <c r="H136" s="39">
        <v>15</v>
      </c>
      <c r="I136" s="40">
        <v>0.61</v>
      </c>
      <c r="J136" s="45">
        <v>0</v>
      </c>
      <c r="K136" s="45">
        <v>0</v>
      </c>
      <c r="L136" s="39">
        <v>1102</v>
      </c>
      <c r="M136">
        <v>0</v>
      </c>
      <c r="N136" s="39">
        <v>647</v>
      </c>
      <c r="O136">
        <v>0</v>
      </c>
      <c r="P136" s="40">
        <v>20</v>
      </c>
    </row>
    <row r="137" ht="14.5" spans="1:16">
      <c r="A137" s="39">
        <v>400</v>
      </c>
      <c r="B137" s="39">
        <v>0</v>
      </c>
      <c r="C137" s="40">
        <v>90</v>
      </c>
      <c r="D137" s="40">
        <v>12</v>
      </c>
      <c r="E137">
        <v>174.28</v>
      </c>
      <c r="F137">
        <v>69.72</v>
      </c>
      <c r="G137" s="41">
        <v>0.4</v>
      </c>
      <c r="H137" s="39">
        <v>15</v>
      </c>
      <c r="I137" s="40">
        <v>0.61</v>
      </c>
      <c r="J137" s="45">
        <v>0</v>
      </c>
      <c r="K137" s="45">
        <v>0</v>
      </c>
      <c r="L137" s="39">
        <v>1102</v>
      </c>
      <c r="M137">
        <v>0</v>
      </c>
      <c r="N137" s="39">
        <v>647</v>
      </c>
      <c r="O137">
        <v>0</v>
      </c>
      <c r="P137" s="40">
        <v>22</v>
      </c>
    </row>
    <row r="138" ht="14.5" spans="1:16">
      <c r="A138" s="39">
        <v>400</v>
      </c>
      <c r="B138" s="39">
        <v>0</v>
      </c>
      <c r="C138" s="40">
        <v>90</v>
      </c>
      <c r="D138" s="40">
        <v>18</v>
      </c>
      <c r="E138">
        <v>174.28</v>
      </c>
      <c r="F138">
        <v>69.72</v>
      </c>
      <c r="G138" s="41">
        <v>0.4</v>
      </c>
      <c r="H138" s="39">
        <v>15</v>
      </c>
      <c r="I138" s="40">
        <v>0.61</v>
      </c>
      <c r="J138" s="45">
        <v>0</v>
      </c>
      <c r="K138" s="45">
        <v>0</v>
      </c>
      <c r="L138" s="39">
        <v>1102</v>
      </c>
      <c r="M138">
        <v>0</v>
      </c>
      <c r="N138" s="39">
        <v>647</v>
      </c>
      <c r="O138">
        <v>0</v>
      </c>
      <c r="P138" s="40">
        <v>41</v>
      </c>
    </row>
    <row r="139" ht="14.5" spans="1:16">
      <c r="A139" s="39">
        <v>400</v>
      </c>
      <c r="B139" s="39">
        <v>0</v>
      </c>
      <c r="C139" s="40">
        <v>90</v>
      </c>
      <c r="D139" s="40">
        <v>24</v>
      </c>
      <c r="E139">
        <v>174.28</v>
      </c>
      <c r="F139">
        <v>69.72</v>
      </c>
      <c r="G139" s="41">
        <v>0.4</v>
      </c>
      <c r="H139" s="39">
        <v>15</v>
      </c>
      <c r="I139" s="40">
        <v>0.61</v>
      </c>
      <c r="J139" s="45">
        <v>0</v>
      </c>
      <c r="K139" s="45">
        <v>0</v>
      </c>
      <c r="L139" s="39">
        <v>1102</v>
      </c>
      <c r="M139">
        <v>0</v>
      </c>
      <c r="N139" s="39">
        <v>647</v>
      </c>
      <c r="O139">
        <v>0</v>
      </c>
      <c r="P139" s="40">
        <v>44</v>
      </c>
    </row>
    <row r="140" ht="14.5" spans="1:16">
      <c r="A140" s="39">
        <v>400</v>
      </c>
      <c r="B140" s="39">
        <v>0</v>
      </c>
      <c r="C140" s="40">
        <v>120</v>
      </c>
      <c r="D140" s="40">
        <v>6</v>
      </c>
      <c r="E140">
        <v>174.28</v>
      </c>
      <c r="F140">
        <v>69.72</v>
      </c>
      <c r="G140" s="41">
        <v>0.4</v>
      </c>
      <c r="H140" s="39">
        <v>15</v>
      </c>
      <c r="I140" s="40">
        <v>0.61</v>
      </c>
      <c r="J140" s="45">
        <v>0</v>
      </c>
      <c r="K140" s="45">
        <v>0</v>
      </c>
      <c r="L140" s="39">
        <v>1102</v>
      </c>
      <c r="M140">
        <v>0</v>
      </c>
      <c r="N140" s="39">
        <v>647</v>
      </c>
      <c r="O140">
        <v>0</v>
      </c>
      <c r="P140" s="40">
        <v>38</v>
      </c>
    </row>
    <row r="141" ht="14.5" spans="1:16">
      <c r="A141" s="39">
        <v>400</v>
      </c>
      <c r="B141" s="39">
        <v>0</v>
      </c>
      <c r="C141" s="40">
        <v>120</v>
      </c>
      <c r="D141" s="40">
        <v>12</v>
      </c>
      <c r="E141">
        <v>174.28</v>
      </c>
      <c r="F141">
        <v>69.72</v>
      </c>
      <c r="G141" s="41">
        <v>0.4</v>
      </c>
      <c r="H141" s="39">
        <v>15</v>
      </c>
      <c r="I141" s="40">
        <v>0.61</v>
      </c>
      <c r="J141" s="45">
        <v>0</v>
      </c>
      <c r="K141" s="45">
        <v>0</v>
      </c>
      <c r="L141" s="39">
        <v>1102</v>
      </c>
      <c r="M141">
        <v>0</v>
      </c>
      <c r="N141" s="39">
        <v>647</v>
      </c>
      <c r="O141">
        <v>0</v>
      </c>
      <c r="P141" s="40">
        <v>38</v>
      </c>
    </row>
    <row r="142" ht="14.5" spans="1:16">
      <c r="A142" s="39">
        <v>400</v>
      </c>
      <c r="B142" s="39">
        <v>0</v>
      </c>
      <c r="C142" s="40">
        <v>120</v>
      </c>
      <c r="D142" s="40">
        <v>18</v>
      </c>
      <c r="E142">
        <v>174.28</v>
      </c>
      <c r="F142">
        <v>69.72</v>
      </c>
      <c r="G142" s="41">
        <v>0.4</v>
      </c>
      <c r="H142" s="39">
        <v>15</v>
      </c>
      <c r="I142" s="40">
        <v>0.61</v>
      </c>
      <c r="J142" s="45">
        <v>0</v>
      </c>
      <c r="K142" s="45">
        <v>0</v>
      </c>
      <c r="L142" s="39">
        <v>1102</v>
      </c>
      <c r="M142">
        <v>0</v>
      </c>
      <c r="N142" s="39">
        <v>647</v>
      </c>
      <c r="O142">
        <v>0</v>
      </c>
      <c r="P142" s="40">
        <v>59</v>
      </c>
    </row>
    <row r="143" ht="14.5" spans="1:16">
      <c r="A143" s="39">
        <v>400</v>
      </c>
      <c r="B143" s="39">
        <v>0</v>
      </c>
      <c r="C143" s="40">
        <v>120</v>
      </c>
      <c r="D143" s="40">
        <v>24</v>
      </c>
      <c r="E143">
        <v>174.28</v>
      </c>
      <c r="F143">
        <v>69.72</v>
      </c>
      <c r="G143" s="41">
        <v>0.4</v>
      </c>
      <c r="H143" s="39">
        <v>15</v>
      </c>
      <c r="I143" s="40">
        <v>0.61</v>
      </c>
      <c r="J143" s="45">
        <v>0</v>
      </c>
      <c r="K143" s="45">
        <v>0</v>
      </c>
      <c r="L143" s="39">
        <v>1102</v>
      </c>
      <c r="M143">
        <v>0</v>
      </c>
      <c r="N143" s="39">
        <v>647</v>
      </c>
      <c r="O143">
        <v>0</v>
      </c>
      <c r="P143" s="40">
        <v>60</v>
      </c>
    </row>
    <row r="144" ht="14.5" spans="1:16">
      <c r="A144" s="39">
        <v>425</v>
      </c>
      <c r="B144" s="39">
        <v>0</v>
      </c>
      <c r="C144" s="40">
        <v>60</v>
      </c>
      <c r="D144" s="40">
        <v>24</v>
      </c>
      <c r="E144">
        <v>106.25</v>
      </c>
      <c r="F144">
        <v>42.5</v>
      </c>
      <c r="G144" s="41">
        <v>0.4</v>
      </c>
      <c r="H144" s="39">
        <v>8</v>
      </c>
      <c r="I144" s="40">
        <v>0.35</v>
      </c>
      <c r="J144" s="45">
        <v>0</v>
      </c>
      <c r="K144" s="45">
        <v>0</v>
      </c>
      <c r="L144" s="39">
        <v>1105</v>
      </c>
      <c r="M144">
        <v>0</v>
      </c>
      <c r="N144" s="39">
        <v>505</v>
      </c>
      <c r="O144">
        <v>0</v>
      </c>
      <c r="P144" s="40">
        <v>37.36</v>
      </c>
    </row>
    <row r="145" ht="14.5" spans="1:16">
      <c r="A145" s="39">
        <v>425</v>
      </c>
      <c r="B145" s="39">
        <v>0</v>
      </c>
      <c r="C145" s="40">
        <v>60</v>
      </c>
      <c r="D145" s="40">
        <v>24</v>
      </c>
      <c r="E145">
        <v>106.25</v>
      </c>
      <c r="F145">
        <v>42.5</v>
      </c>
      <c r="G145" s="41">
        <v>0.4</v>
      </c>
      <c r="H145" s="39">
        <v>10</v>
      </c>
      <c r="I145" s="40">
        <v>0.35</v>
      </c>
      <c r="J145" s="45">
        <v>0</v>
      </c>
      <c r="K145" s="45">
        <v>0</v>
      </c>
      <c r="L145" s="39">
        <v>1105</v>
      </c>
      <c r="M145">
        <v>0</v>
      </c>
      <c r="N145" s="39">
        <v>505</v>
      </c>
      <c r="O145">
        <v>0</v>
      </c>
      <c r="P145" s="40">
        <v>40.29</v>
      </c>
    </row>
    <row r="146" ht="14.5" spans="1:16">
      <c r="A146" s="39">
        <v>425</v>
      </c>
      <c r="B146" s="39">
        <v>0</v>
      </c>
      <c r="C146" s="40">
        <v>60</v>
      </c>
      <c r="D146" s="40">
        <v>24</v>
      </c>
      <c r="E146">
        <v>106.25</v>
      </c>
      <c r="F146">
        <v>42.5</v>
      </c>
      <c r="G146" s="41">
        <v>0.4</v>
      </c>
      <c r="H146" s="39">
        <v>12</v>
      </c>
      <c r="I146" s="40">
        <v>0.35</v>
      </c>
      <c r="J146" s="45">
        <v>0</v>
      </c>
      <c r="K146" s="45">
        <v>0</v>
      </c>
      <c r="L146" s="39">
        <v>1105</v>
      </c>
      <c r="M146">
        <v>0</v>
      </c>
      <c r="N146" s="39">
        <v>505</v>
      </c>
      <c r="O146">
        <v>0</v>
      </c>
      <c r="P146" s="40">
        <v>42.44</v>
      </c>
    </row>
    <row r="147" ht="14.5" spans="1:16">
      <c r="A147" s="39">
        <v>425</v>
      </c>
      <c r="B147" s="39">
        <v>0</v>
      </c>
      <c r="C147" s="40">
        <v>60</v>
      </c>
      <c r="D147" s="40">
        <v>24</v>
      </c>
      <c r="E147">
        <v>106.25</v>
      </c>
      <c r="F147">
        <v>42.5</v>
      </c>
      <c r="G147" s="41">
        <v>0.4</v>
      </c>
      <c r="H147" s="39">
        <v>14</v>
      </c>
      <c r="I147" s="40">
        <v>0.35</v>
      </c>
      <c r="J147" s="45">
        <v>0</v>
      </c>
      <c r="K147" s="45">
        <v>0</v>
      </c>
      <c r="L147" s="39">
        <v>1105</v>
      </c>
      <c r="M147">
        <v>0</v>
      </c>
      <c r="N147" s="39">
        <v>505</v>
      </c>
      <c r="O147">
        <v>0</v>
      </c>
      <c r="P147" s="40">
        <v>43</v>
      </c>
    </row>
    <row r="148" ht="14.5" spans="1:16">
      <c r="A148" s="39">
        <v>425</v>
      </c>
      <c r="B148" s="39">
        <v>0</v>
      </c>
      <c r="C148" s="40">
        <v>60</v>
      </c>
      <c r="D148" s="40">
        <v>24</v>
      </c>
      <c r="E148">
        <v>106.25</v>
      </c>
      <c r="F148">
        <v>42.5</v>
      </c>
      <c r="G148" s="41">
        <v>0.4</v>
      </c>
      <c r="H148" s="39">
        <v>16</v>
      </c>
      <c r="I148" s="40">
        <v>0.35</v>
      </c>
      <c r="J148" s="45">
        <v>0</v>
      </c>
      <c r="K148" s="45">
        <v>0</v>
      </c>
      <c r="L148" s="39">
        <v>1105</v>
      </c>
      <c r="M148">
        <v>0</v>
      </c>
      <c r="N148" s="39">
        <v>505</v>
      </c>
      <c r="O148">
        <v>0</v>
      </c>
      <c r="P148" s="40">
        <v>44.14</v>
      </c>
    </row>
    <row r="149" ht="14.5" spans="1:16">
      <c r="A149" s="39">
        <v>420.57</v>
      </c>
      <c r="B149" s="39">
        <v>0</v>
      </c>
      <c r="C149" s="40">
        <v>100</v>
      </c>
      <c r="D149" s="40">
        <v>24</v>
      </c>
      <c r="E149">
        <v>165.2235</v>
      </c>
      <c r="F149">
        <v>66.09</v>
      </c>
      <c r="G149" s="41">
        <v>0.4</v>
      </c>
      <c r="H149" s="39">
        <v>10</v>
      </c>
      <c r="I149" s="40">
        <v>0.55</v>
      </c>
      <c r="J149" s="45">
        <v>0</v>
      </c>
      <c r="K149" s="45">
        <v>0</v>
      </c>
      <c r="L149" s="39">
        <v>1273.07</v>
      </c>
      <c r="M149">
        <v>0</v>
      </c>
      <c r="N149" s="39">
        <v>318.27</v>
      </c>
      <c r="O149">
        <v>0</v>
      </c>
      <c r="P149" s="40">
        <v>49</v>
      </c>
    </row>
    <row r="150" ht="14.5" spans="1:16">
      <c r="A150" s="39">
        <v>365.16</v>
      </c>
      <c r="B150" s="39">
        <v>0</v>
      </c>
      <c r="C150" s="40">
        <v>100</v>
      </c>
      <c r="D150" s="40">
        <v>24</v>
      </c>
      <c r="E150">
        <v>143.448</v>
      </c>
      <c r="F150">
        <v>57.39</v>
      </c>
      <c r="G150" s="41">
        <v>0.4</v>
      </c>
      <c r="H150" s="39">
        <v>10</v>
      </c>
      <c r="I150" s="40">
        <v>0.55</v>
      </c>
      <c r="J150" s="45">
        <v>0</v>
      </c>
      <c r="K150" s="45">
        <v>0</v>
      </c>
      <c r="L150" s="39">
        <v>1379.16</v>
      </c>
      <c r="M150">
        <v>0</v>
      </c>
      <c r="N150" s="39">
        <v>344.79</v>
      </c>
      <c r="O150">
        <v>0</v>
      </c>
      <c r="P150" s="40">
        <v>56</v>
      </c>
    </row>
    <row r="151" ht="14.5" spans="1:16">
      <c r="A151" s="39">
        <v>309.85</v>
      </c>
      <c r="B151" s="39">
        <v>0</v>
      </c>
      <c r="C151" s="40">
        <v>100</v>
      </c>
      <c r="D151" s="40">
        <v>24</v>
      </c>
      <c r="E151">
        <v>121.7175</v>
      </c>
      <c r="F151">
        <v>48.7</v>
      </c>
      <c r="G151" s="41">
        <v>0.4</v>
      </c>
      <c r="H151" s="39">
        <v>10</v>
      </c>
      <c r="I151" s="40">
        <v>0.55</v>
      </c>
      <c r="J151" s="45">
        <v>0</v>
      </c>
      <c r="K151" s="45">
        <v>0</v>
      </c>
      <c r="L151" s="39">
        <v>1485.25</v>
      </c>
      <c r="M151">
        <v>0</v>
      </c>
      <c r="N151" s="39">
        <v>371.31</v>
      </c>
      <c r="O151">
        <v>0</v>
      </c>
      <c r="P151" s="40">
        <v>47</v>
      </c>
    </row>
    <row r="152" ht="14.5" spans="1:16">
      <c r="A152" s="39">
        <v>254.54</v>
      </c>
      <c r="B152" s="39">
        <v>0</v>
      </c>
      <c r="C152" s="40">
        <v>100</v>
      </c>
      <c r="D152" s="40">
        <v>24</v>
      </c>
      <c r="E152">
        <v>99.997</v>
      </c>
      <c r="F152">
        <v>40</v>
      </c>
      <c r="G152" s="41">
        <v>0.4</v>
      </c>
      <c r="H152" s="39">
        <v>10</v>
      </c>
      <c r="I152" s="40">
        <v>0.55</v>
      </c>
      <c r="J152" s="45">
        <v>0</v>
      </c>
      <c r="K152" s="45">
        <v>0</v>
      </c>
      <c r="L152" s="39">
        <v>1591.34</v>
      </c>
      <c r="M152">
        <v>0</v>
      </c>
      <c r="N152" s="39">
        <v>397.83</v>
      </c>
      <c r="O152">
        <v>0</v>
      </c>
      <c r="P152" s="40">
        <v>45</v>
      </c>
    </row>
    <row r="153" ht="14.5" spans="1:16">
      <c r="A153" s="39">
        <v>400</v>
      </c>
      <c r="B153" s="39">
        <v>0</v>
      </c>
      <c r="C153" s="40">
        <v>70</v>
      </c>
      <c r="D153" s="40">
        <v>48</v>
      </c>
      <c r="E153">
        <v>142.85</v>
      </c>
      <c r="F153">
        <v>57.15</v>
      </c>
      <c r="G153" s="41">
        <v>0.4</v>
      </c>
      <c r="H153" s="39">
        <v>8</v>
      </c>
      <c r="I153" s="40">
        <v>0.5</v>
      </c>
      <c r="J153" s="45">
        <v>35</v>
      </c>
      <c r="K153" s="45">
        <v>0</v>
      </c>
      <c r="L153" s="39">
        <v>1200</v>
      </c>
      <c r="M153">
        <v>0</v>
      </c>
      <c r="N153" s="39">
        <v>645</v>
      </c>
      <c r="O153">
        <v>0</v>
      </c>
      <c r="P153" s="40">
        <v>44.87</v>
      </c>
    </row>
    <row r="154" ht="14.5" spans="1:16">
      <c r="A154" s="39">
        <v>400</v>
      </c>
      <c r="B154" s="39">
        <v>0</v>
      </c>
      <c r="C154" s="40">
        <v>70</v>
      </c>
      <c r="D154" s="40">
        <v>48</v>
      </c>
      <c r="E154">
        <v>142.85</v>
      </c>
      <c r="F154">
        <v>57.15</v>
      </c>
      <c r="G154" s="41">
        <v>0.4</v>
      </c>
      <c r="H154" s="39">
        <v>10</v>
      </c>
      <c r="I154" s="40">
        <v>0.5</v>
      </c>
      <c r="J154" s="45">
        <v>35</v>
      </c>
      <c r="K154" s="45">
        <v>0</v>
      </c>
      <c r="L154" s="39">
        <v>1200</v>
      </c>
      <c r="M154">
        <v>0</v>
      </c>
      <c r="N154" s="39">
        <v>645</v>
      </c>
      <c r="O154">
        <v>0</v>
      </c>
      <c r="P154" s="40">
        <v>49.28</v>
      </c>
    </row>
    <row r="155" ht="14.5" spans="1:16">
      <c r="A155" s="39">
        <v>400</v>
      </c>
      <c r="B155" s="39">
        <v>0</v>
      </c>
      <c r="C155" s="40">
        <v>70</v>
      </c>
      <c r="D155" s="40">
        <v>48</v>
      </c>
      <c r="E155">
        <v>142.85</v>
      </c>
      <c r="F155">
        <v>57.15</v>
      </c>
      <c r="G155" s="41">
        <v>0.4</v>
      </c>
      <c r="H155" s="39">
        <v>14</v>
      </c>
      <c r="I155" s="40">
        <v>0.5</v>
      </c>
      <c r="J155" s="45">
        <v>35</v>
      </c>
      <c r="K155" s="45">
        <v>0</v>
      </c>
      <c r="L155" s="39">
        <v>1200</v>
      </c>
      <c r="M155">
        <v>0</v>
      </c>
      <c r="N155" s="39">
        <v>645</v>
      </c>
      <c r="O155">
        <v>0</v>
      </c>
      <c r="P155" s="40">
        <v>50.46</v>
      </c>
    </row>
    <row r="156" ht="14.5" spans="1:16">
      <c r="A156" s="39">
        <v>400</v>
      </c>
      <c r="B156" s="39">
        <v>0</v>
      </c>
      <c r="C156" s="40">
        <v>70</v>
      </c>
      <c r="D156" s="40">
        <v>48</v>
      </c>
      <c r="E156">
        <v>142.85</v>
      </c>
      <c r="F156">
        <v>57.15</v>
      </c>
      <c r="G156" s="41">
        <v>0.4</v>
      </c>
      <c r="H156" s="39">
        <v>12</v>
      </c>
      <c r="I156" s="40">
        <v>0.5</v>
      </c>
      <c r="J156" s="45">
        <v>35</v>
      </c>
      <c r="K156" s="45">
        <v>0</v>
      </c>
      <c r="L156" s="39">
        <v>1200</v>
      </c>
      <c r="M156">
        <v>0</v>
      </c>
      <c r="N156" s="39">
        <v>645</v>
      </c>
      <c r="O156">
        <v>0</v>
      </c>
      <c r="P156" s="40">
        <v>51.52</v>
      </c>
    </row>
    <row r="157" ht="14.5" spans="1:16">
      <c r="A157" s="39">
        <v>394.3</v>
      </c>
      <c r="B157" s="39">
        <v>0</v>
      </c>
      <c r="C157" s="40">
        <v>60</v>
      </c>
      <c r="D157" s="40">
        <v>24</v>
      </c>
      <c r="E157">
        <v>112.65</v>
      </c>
      <c r="F157">
        <v>45.07</v>
      </c>
      <c r="G157" s="41">
        <v>0.4</v>
      </c>
      <c r="H157" s="39">
        <v>8</v>
      </c>
      <c r="I157" s="40">
        <v>0.4</v>
      </c>
      <c r="J157" s="45">
        <v>0</v>
      </c>
      <c r="K157" s="45">
        <v>0</v>
      </c>
      <c r="L157" s="39">
        <v>1208</v>
      </c>
      <c r="M157">
        <v>0</v>
      </c>
      <c r="N157" s="39">
        <v>650</v>
      </c>
      <c r="O157">
        <v>0</v>
      </c>
      <c r="P157" s="40">
        <v>33.22</v>
      </c>
    </row>
    <row r="158" ht="14.5" spans="1:16">
      <c r="A158" s="39">
        <v>428.57</v>
      </c>
      <c r="B158" s="39">
        <v>0</v>
      </c>
      <c r="C158" s="40">
        <v>65</v>
      </c>
      <c r="D158" s="40">
        <v>24</v>
      </c>
      <c r="E158">
        <v>122.448</v>
      </c>
      <c r="F158">
        <v>48.98</v>
      </c>
      <c r="G158" s="41">
        <v>0.4</v>
      </c>
      <c r="H158" s="39">
        <v>8</v>
      </c>
      <c r="I158" s="40">
        <v>0.4</v>
      </c>
      <c r="J158" s="45">
        <v>0</v>
      </c>
      <c r="K158" s="45">
        <v>0</v>
      </c>
      <c r="L158" s="39">
        <v>1190</v>
      </c>
      <c r="M158">
        <v>0</v>
      </c>
      <c r="N158" s="39">
        <v>645</v>
      </c>
      <c r="O158">
        <v>0</v>
      </c>
      <c r="P158" s="40">
        <v>32.36</v>
      </c>
    </row>
    <row r="159" ht="14.5" spans="1:16">
      <c r="A159" s="39">
        <v>428.57</v>
      </c>
      <c r="B159" s="39">
        <v>0</v>
      </c>
      <c r="C159" s="40">
        <v>65</v>
      </c>
      <c r="D159" s="40">
        <v>24</v>
      </c>
      <c r="E159">
        <v>122.448</v>
      </c>
      <c r="F159">
        <v>48.98</v>
      </c>
      <c r="G159" s="41">
        <v>0.4</v>
      </c>
      <c r="H159" s="39">
        <v>12</v>
      </c>
      <c r="I159" s="40">
        <v>0.4</v>
      </c>
      <c r="J159" s="45">
        <v>0</v>
      </c>
      <c r="K159" s="45">
        <v>0</v>
      </c>
      <c r="L159" s="39">
        <v>1190</v>
      </c>
      <c r="M159">
        <v>0</v>
      </c>
      <c r="N159" s="39">
        <v>645</v>
      </c>
      <c r="O159">
        <v>0</v>
      </c>
      <c r="P159" s="40">
        <v>37.25</v>
      </c>
    </row>
    <row r="160" ht="14.5" spans="1:16">
      <c r="A160" s="39">
        <v>428.57</v>
      </c>
      <c r="B160" s="39">
        <v>0</v>
      </c>
      <c r="C160" s="40">
        <v>65</v>
      </c>
      <c r="D160" s="40">
        <v>24</v>
      </c>
      <c r="E160">
        <v>122.448</v>
      </c>
      <c r="F160">
        <v>48.98</v>
      </c>
      <c r="G160" s="41">
        <v>0.4</v>
      </c>
      <c r="H160" s="39">
        <v>16</v>
      </c>
      <c r="I160" s="40">
        <v>0.4</v>
      </c>
      <c r="J160" s="45">
        <v>0</v>
      </c>
      <c r="K160" s="45">
        <v>0</v>
      </c>
      <c r="L160" s="39">
        <v>1190</v>
      </c>
      <c r="M160">
        <v>0</v>
      </c>
      <c r="N160" s="39">
        <v>645</v>
      </c>
      <c r="O160">
        <v>0</v>
      </c>
      <c r="P160" s="40">
        <v>40.21</v>
      </c>
    </row>
    <row r="161" ht="14.5" spans="1:16">
      <c r="A161" s="39">
        <v>500</v>
      </c>
      <c r="B161" s="39">
        <v>0</v>
      </c>
      <c r="C161" s="40">
        <v>40</v>
      </c>
      <c r="D161" s="40">
        <v>24</v>
      </c>
      <c r="E161">
        <v>120.21</v>
      </c>
      <c r="F161">
        <v>99.79</v>
      </c>
      <c r="G161" s="41">
        <v>0.83</v>
      </c>
      <c r="H161" s="39">
        <v>8</v>
      </c>
      <c r="I161" s="40">
        <v>0.44</v>
      </c>
      <c r="J161" s="45">
        <v>0</v>
      </c>
      <c r="K161" s="45">
        <v>0</v>
      </c>
      <c r="L161" s="39">
        <v>825</v>
      </c>
      <c r="M161">
        <v>0</v>
      </c>
      <c r="N161" s="39">
        <v>675</v>
      </c>
      <c r="O161">
        <v>0</v>
      </c>
      <c r="P161" s="40">
        <v>24.8</v>
      </c>
    </row>
    <row r="162" ht="14.5" spans="1:16">
      <c r="A162" s="39">
        <v>500</v>
      </c>
      <c r="B162" s="39">
        <v>0</v>
      </c>
      <c r="C162" s="40">
        <v>60</v>
      </c>
      <c r="D162" s="40">
        <v>24</v>
      </c>
      <c r="E162">
        <v>120.21</v>
      </c>
      <c r="F162">
        <v>99.79</v>
      </c>
      <c r="G162" s="41">
        <v>0.83</v>
      </c>
      <c r="H162" s="39">
        <v>8</v>
      </c>
      <c r="I162" s="40">
        <v>0.44</v>
      </c>
      <c r="J162" s="45">
        <v>0</v>
      </c>
      <c r="K162" s="45">
        <v>0</v>
      </c>
      <c r="L162" s="39">
        <v>825</v>
      </c>
      <c r="M162">
        <v>0</v>
      </c>
      <c r="N162" s="39">
        <v>675</v>
      </c>
      <c r="O162">
        <v>0</v>
      </c>
      <c r="P162" s="40">
        <v>34.7</v>
      </c>
    </row>
    <row r="163" ht="14.5" spans="1:16">
      <c r="A163" s="42">
        <v>500</v>
      </c>
      <c r="B163" s="42">
        <v>0</v>
      </c>
      <c r="C163" s="43">
        <v>60</v>
      </c>
      <c r="D163" s="43">
        <v>24</v>
      </c>
      <c r="E163">
        <v>142.85</v>
      </c>
      <c r="F163">
        <v>57.15</v>
      </c>
      <c r="G163" s="44">
        <v>0.4</v>
      </c>
      <c r="H163" s="42">
        <v>8</v>
      </c>
      <c r="I163" s="43">
        <v>0.4</v>
      </c>
      <c r="J163" s="46">
        <v>0</v>
      </c>
      <c r="K163" s="46">
        <v>0</v>
      </c>
      <c r="L163" s="42">
        <v>825</v>
      </c>
      <c r="M163">
        <v>0</v>
      </c>
      <c r="N163" s="42">
        <v>675</v>
      </c>
      <c r="O163">
        <v>0</v>
      </c>
      <c r="P163" s="43">
        <v>17</v>
      </c>
    </row>
    <row r="164" ht="14.5" spans="1:16">
      <c r="A164" s="39">
        <v>500</v>
      </c>
      <c r="B164" s="39">
        <v>0</v>
      </c>
      <c r="C164" s="40">
        <v>80</v>
      </c>
      <c r="D164" s="40">
        <v>24</v>
      </c>
      <c r="E164">
        <v>120.21</v>
      </c>
      <c r="F164">
        <v>99.79</v>
      </c>
      <c r="G164" s="41">
        <v>0.83</v>
      </c>
      <c r="H164" s="39">
        <v>8</v>
      </c>
      <c r="I164" s="40">
        <v>0.44</v>
      </c>
      <c r="J164" s="45">
        <v>0</v>
      </c>
      <c r="K164" s="45">
        <v>0</v>
      </c>
      <c r="L164" s="39">
        <v>825</v>
      </c>
      <c r="M164">
        <v>0</v>
      </c>
      <c r="N164" s="39">
        <v>675</v>
      </c>
      <c r="O164">
        <v>0</v>
      </c>
      <c r="P164" s="40">
        <v>38.3</v>
      </c>
    </row>
    <row r="165" ht="14.5" spans="1:16">
      <c r="A165" s="39">
        <v>500</v>
      </c>
      <c r="B165" s="39">
        <v>0</v>
      </c>
      <c r="C165" s="40">
        <v>80</v>
      </c>
      <c r="D165" s="40">
        <v>24</v>
      </c>
      <c r="E165">
        <v>142.85</v>
      </c>
      <c r="F165">
        <v>57.15</v>
      </c>
      <c r="G165" s="41">
        <v>0.4</v>
      </c>
      <c r="H165" s="39">
        <v>8</v>
      </c>
      <c r="I165" s="40">
        <v>0.4</v>
      </c>
      <c r="J165" s="45">
        <v>0</v>
      </c>
      <c r="K165" s="45">
        <v>0</v>
      </c>
      <c r="L165" s="39">
        <v>825</v>
      </c>
      <c r="M165">
        <v>0</v>
      </c>
      <c r="N165" s="39">
        <v>675</v>
      </c>
      <c r="O165">
        <v>0</v>
      </c>
      <c r="P165" s="40">
        <v>21.6</v>
      </c>
    </row>
    <row r="166" ht="14.5" spans="1:16">
      <c r="A166" s="39">
        <v>500</v>
      </c>
      <c r="B166" s="39">
        <v>0</v>
      </c>
      <c r="C166" s="40">
        <v>100</v>
      </c>
      <c r="D166" s="40">
        <v>24</v>
      </c>
      <c r="E166">
        <v>120.21</v>
      </c>
      <c r="F166">
        <v>99.79</v>
      </c>
      <c r="G166" s="41">
        <v>0.83</v>
      </c>
      <c r="H166" s="39">
        <v>8</v>
      </c>
      <c r="I166" s="40">
        <v>0.44</v>
      </c>
      <c r="J166" s="45">
        <v>0</v>
      </c>
      <c r="K166" s="45">
        <v>0</v>
      </c>
      <c r="L166" s="39">
        <v>825</v>
      </c>
      <c r="M166">
        <v>0</v>
      </c>
      <c r="N166" s="39">
        <v>675</v>
      </c>
      <c r="O166">
        <v>0</v>
      </c>
      <c r="P166" s="40">
        <v>41.8</v>
      </c>
    </row>
    <row r="167" ht="14.5" spans="1:16">
      <c r="A167" s="39">
        <v>500</v>
      </c>
      <c r="B167" s="39">
        <v>0</v>
      </c>
      <c r="C167" s="40">
        <v>100</v>
      </c>
      <c r="D167" s="40">
        <v>24</v>
      </c>
      <c r="E167">
        <v>142.85</v>
      </c>
      <c r="F167">
        <v>57.15</v>
      </c>
      <c r="G167" s="41">
        <v>0.4</v>
      </c>
      <c r="H167" s="39">
        <v>8</v>
      </c>
      <c r="I167" s="40">
        <v>0.4</v>
      </c>
      <c r="J167" s="45">
        <v>0</v>
      </c>
      <c r="K167" s="45">
        <v>0</v>
      </c>
      <c r="L167" s="39">
        <v>825</v>
      </c>
      <c r="M167">
        <v>0</v>
      </c>
      <c r="N167" s="39">
        <v>675</v>
      </c>
      <c r="O167">
        <v>0</v>
      </c>
      <c r="P167" s="40">
        <v>23.2</v>
      </c>
    </row>
    <row r="168" ht="14.5" spans="1:16">
      <c r="A168" s="39">
        <v>500</v>
      </c>
      <c r="B168" s="39">
        <v>0</v>
      </c>
      <c r="C168" s="40">
        <v>80</v>
      </c>
      <c r="D168" s="40">
        <v>4</v>
      </c>
      <c r="E168">
        <v>120.21</v>
      </c>
      <c r="F168">
        <v>99.79</v>
      </c>
      <c r="G168" s="41">
        <v>0.83</v>
      </c>
      <c r="H168" s="39">
        <v>8</v>
      </c>
      <c r="I168" s="40">
        <v>0.44</v>
      </c>
      <c r="J168" s="45">
        <v>0</v>
      </c>
      <c r="K168" s="45">
        <v>0</v>
      </c>
      <c r="L168" s="39">
        <v>825</v>
      </c>
      <c r="M168">
        <v>0</v>
      </c>
      <c r="N168" s="39">
        <v>675</v>
      </c>
      <c r="O168">
        <v>0</v>
      </c>
      <c r="P168" s="40">
        <v>22.2</v>
      </c>
    </row>
    <row r="169" ht="14.5" spans="1:16">
      <c r="A169" s="39">
        <v>500</v>
      </c>
      <c r="B169" s="39">
        <v>0</v>
      </c>
      <c r="C169" s="40">
        <v>80</v>
      </c>
      <c r="D169" s="40">
        <v>8</v>
      </c>
      <c r="E169">
        <v>120.21</v>
      </c>
      <c r="F169">
        <v>99.79</v>
      </c>
      <c r="G169" s="41">
        <v>0.83</v>
      </c>
      <c r="H169" s="39">
        <v>8</v>
      </c>
      <c r="I169" s="40">
        <v>0.44</v>
      </c>
      <c r="J169" s="45">
        <v>0</v>
      </c>
      <c r="K169" s="45">
        <v>0</v>
      </c>
      <c r="L169" s="39">
        <v>825</v>
      </c>
      <c r="M169">
        <v>0</v>
      </c>
      <c r="N169" s="39">
        <v>675</v>
      </c>
      <c r="O169">
        <v>0</v>
      </c>
      <c r="P169" s="40">
        <v>31.9</v>
      </c>
    </row>
    <row r="170" ht="14.5" spans="1:16">
      <c r="A170" s="39">
        <v>500</v>
      </c>
      <c r="B170" s="39">
        <v>0</v>
      </c>
      <c r="C170" s="40">
        <v>80</v>
      </c>
      <c r="D170" s="40">
        <v>8</v>
      </c>
      <c r="E170">
        <v>142.85</v>
      </c>
      <c r="F170">
        <v>57.15</v>
      </c>
      <c r="G170" s="41">
        <v>0.4</v>
      </c>
      <c r="H170" s="39">
        <v>8</v>
      </c>
      <c r="I170" s="40">
        <v>0.4</v>
      </c>
      <c r="J170" s="45">
        <v>0</v>
      </c>
      <c r="K170" s="45">
        <v>0</v>
      </c>
      <c r="L170" s="39">
        <v>825</v>
      </c>
      <c r="M170">
        <v>0</v>
      </c>
      <c r="N170" s="39">
        <v>675</v>
      </c>
      <c r="O170">
        <v>0</v>
      </c>
      <c r="P170" s="40">
        <v>19.6</v>
      </c>
    </row>
    <row r="171" ht="14.5" spans="1:16">
      <c r="A171" s="39">
        <v>500</v>
      </c>
      <c r="B171" s="39">
        <v>0</v>
      </c>
      <c r="C171" s="40">
        <v>80</v>
      </c>
      <c r="D171" s="40">
        <v>12</v>
      </c>
      <c r="E171">
        <v>120.21</v>
      </c>
      <c r="F171">
        <v>99.79</v>
      </c>
      <c r="G171" s="41">
        <v>0.83</v>
      </c>
      <c r="H171" s="39">
        <v>8</v>
      </c>
      <c r="I171" s="40">
        <v>0.44</v>
      </c>
      <c r="J171" s="45">
        <v>0</v>
      </c>
      <c r="K171" s="45">
        <v>0</v>
      </c>
      <c r="L171" s="39">
        <v>825</v>
      </c>
      <c r="M171">
        <v>0</v>
      </c>
      <c r="N171" s="39">
        <v>675</v>
      </c>
      <c r="O171">
        <v>0</v>
      </c>
      <c r="P171" s="40">
        <v>37.5</v>
      </c>
    </row>
    <row r="172" ht="14.5" spans="1:16">
      <c r="A172" s="39">
        <v>500</v>
      </c>
      <c r="B172" s="39">
        <v>0</v>
      </c>
      <c r="C172" s="40">
        <v>80</v>
      </c>
      <c r="D172" s="40">
        <v>12</v>
      </c>
      <c r="E172">
        <v>142.85</v>
      </c>
      <c r="F172">
        <v>57.15</v>
      </c>
      <c r="G172" s="41">
        <v>0.4</v>
      </c>
      <c r="H172" s="39">
        <v>8</v>
      </c>
      <c r="I172" s="40">
        <v>0.4</v>
      </c>
      <c r="J172" s="45">
        <v>0</v>
      </c>
      <c r="K172" s="45">
        <v>0</v>
      </c>
      <c r="L172" s="39">
        <v>825</v>
      </c>
      <c r="M172">
        <v>0</v>
      </c>
      <c r="N172" s="39">
        <v>675</v>
      </c>
      <c r="O172">
        <v>0</v>
      </c>
      <c r="P172" s="40">
        <v>23.8</v>
      </c>
    </row>
    <row r="173" ht="14.5" spans="1:16">
      <c r="A173" s="39">
        <v>400</v>
      </c>
      <c r="B173" s="39">
        <v>0</v>
      </c>
      <c r="C173" s="40">
        <v>60</v>
      </c>
      <c r="D173" s="40">
        <v>24</v>
      </c>
      <c r="E173">
        <v>103.4</v>
      </c>
      <c r="F173">
        <v>48.6</v>
      </c>
      <c r="G173" s="41">
        <v>0.47</v>
      </c>
      <c r="H173" s="39">
        <v>8</v>
      </c>
      <c r="I173" s="40">
        <v>0.38</v>
      </c>
      <c r="J173" s="45">
        <v>0</v>
      </c>
      <c r="K173" s="45">
        <v>5.99</v>
      </c>
      <c r="L173" s="39">
        <v>1281</v>
      </c>
      <c r="M173">
        <v>0</v>
      </c>
      <c r="N173" s="39">
        <v>545</v>
      </c>
      <c r="O173">
        <v>0</v>
      </c>
      <c r="P173" s="40">
        <v>39.9</v>
      </c>
    </row>
    <row r="174" ht="14.5" spans="1:16">
      <c r="A174" s="39">
        <v>400</v>
      </c>
      <c r="B174" s="39">
        <v>0</v>
      </c>
      <c r="C174" s="40">
        <v>60</v>
      </c>
      <c r="D174" s="40">
        <v>24</v>
      </c>
      <c r="E174">
        <v>103.4</v>
      </c>
      <c r="F174">
        <v>48.6</v>
      </c>
      <c r="G174" s="41">
        <v>0.47</v>
      </c>
      <c r="H174" s="39">
        <v>14</v>
      </c>
      <c r="I174" s="40">
        <v>0.38</v>
      </c>
      <c r="J174" s="45">
        <v>22.4</v>
      </c>
      <c r="K174" s="45">
        <v>5.99</v>
      </c>
      <c r="L174" s="39">
        <v>1281</v>
      </c>
      <c r="M174">
        <v>0</v>
      </c>
      <c r="N174" s="39">
        <v>545</v>
      </c>
      <c r="O174">
        <v>0</v>
      </c>
      <c r="P174" s="40">
        <v>60.2</v>
      </c>
    </row>
    <row r="175" ht="14.5" spans="1:16">
      <c r="A175" s="39">
        <v>414</v>
      </c>
      <c r="B175" s="39">
        <v>0</v>
      </c>
      <c r="C175" s="40">
        <v>60</v>
      </c>
      <c r="D175" s="40">
        <v>24</v>
      </c>
      <c r="E175">
        <v>103.5</v>
      </c>
      <c r="F175">
        <v>103.5</v>
      </c>
      <c r="G175" s="41">
        <v>1</v>
      </c>
      <c r="H175" s="39">
        <v>10</v>
      </c>
      <c r="I175" s="40">
        <v>0.5</v>
      </c>
      <c r="J175" s="45">
        <v>0</v>
      </c>
      <c r="K175" s="45">
        <v>0</v>
      </c>
      <c r="L175" s="39">
        <v>1091</v>
      </c>
      <c r="M175">
        <v>0</v>
      </c>
      <c r="N175" s="39">
        <v>588</v>
      </c>
      <c r="O175">
        <v>0</v>
      </c>
      <c r="P175" s="40">
        <v>46.67</v>
      </c>
    </row>
    <row r="176" ht="14.5" spans="1:16">
      <c r="A176" s="39">
        <v>414</v>
      </c>
      <c r="B176" s="39">
        <v>0</v>
      </c>
      <c r="C176" s="40">
        <v>60</v>
      </c>
      <c r="D176" s="40">
        <v>24</v>
      </c>
      <c r="E176">
        <v>103.5</v>
      </c>
      <c r="F176">
        <v>103.5</v>
      </c>
      <c r="G176" s="41">
        <v>1</v>
      </c>
      <c r="H176" s="39">
        <v>15</v>
      </c>
      <c r="I176" s="40">
        <v>0.5</v>
      </c>
      <c r="J176" s="45">
        <v>0</v>
      </c>
      <c r="K176" s="45">
        <v>0</v>
      </c>
      <c r="L176" s="39">
        <v>1091</v>
      </c>
      <c r="M176">
        <v>0</v>
      </c>
      <c r="N176" s="39">
        <v>588</v>
      </c>
      <c r="O176">
        <v>0</v>
      </c>
      <c r="P176" s="40">
        <v>54.4</v>
      </c>
    </row>
    <row r="177" ht="14.5" spans="1:16">
      <c r="A177" s="39">
        <v>414</v>
      </c>
      <c r="B177" s="39">
        <v>0</v>
      </c>
      <c r="C177" s="40">
        <v>60</v>
      </c>
      <c r="D177" s="40">
        <v>24</v>
      </c>
      <c r="E177">
        <v>103.5</v>
      </c>
      <c r="F177">
        <v>103.5</v>
      </c>
      <c r="G177" s="41">
        <v>1</v>
      </c>
      <c r="H177" s="39">
        <v>20</v>
      </c>
      <c r="I177" s="40">
        <v>0.5</v>
      </c>
      <c r="J177" s="45">
        <v>0</v>
      </c>
      <c r="K177" s="45">
        <v>0</v>
      </c>
      <c r="L177" s="39">
        <v>1091</v>
      </c>
      <c r="M177">
        <v>0</v>
      </c>
      <c r="N177" s="39">
        <v>588</v>
      </c>
      <c r="O177">
        <v>0</v>
      </c>
      <c r="P177" s="40">
        <v>43.2</v>
      </c>
    </row>
    <row r="178" ht="14.5" spans="1:16">
      <c r="A178" s="39">
        <v>414</v>
      </c>
      <c r="B178" s="39">
        <v>0</v>
      </c>
      <c r="C178" s="40">
        <v>60</v>
      </c>
      <c r="D178" s="40">
        <v>24</v>
      </c>
      <c r="E178">
        <v>138</v>
      </c>
      <c r="F178">
        <v>69</v>
      </c>
      <c r="G178" s="41">
        <v>0.5</v>
      </c>
      <c r="H178" s="39">
        <v>10</v>
      </c>
      <c r="I178" s="40">
        <v>0.5</v>
      </c>
      <c r="J178" s="45">
        <v>0</v>
      </c>
      <c r="K178" s="45">
        <v>0</v>
      </c>
      <c r="L178" s="39">
        <v>1091</v>
      </c>
      <c r="M178">
        <v>0</v>
      </c>
      <c r="N178" s="39">
        <v>588</v>
      </c>
      <c r="O178">
        <v>0</v>
      </c>
      <c r="P178" s="40">
        <v>40.09</v>
      </c>
    </row>
    <row r="179" ht="14.5" spans="1:16">
      <c r="A179" s="39">
        <v>414</v>
      </c>
      <c r="B179" s="39">
        <v>0</v>
      </c>
      <c r="C179" s="40">
        <v>60</v>
      </c>
      <c r="D179" s="40">
        <v>24</v>
      </c>
      <c r="E179">
        <v>138</v>
      </c>
      <c r="F179">
        <v>69</v>
      </c>
      <c r="G179" s="41">
        <v>0.5</v>
      </c>
      <c r="H179" s="39">
        <v>15</v>
      </c>
      <c r="I179" s="40">
        <v>0.5</v>
      </c>
      <c r="J179" s="45">
        <v>0</v>
      </c>
      <c r="K179" s="45">
        <v>0</v>
      </c>
      <c r="L179" s="39">
        <v>1091</v>
      </c>
      <c r="M179">
        <v>0</v>
      </c>
      <c r="N179" s="39">
        <v>588</v>
      </c>
      <c r="O179">
        <v>0</v>
      </c>
      <c r="P179" s="40">
        <v>48.18</v>
      </c>
    </row>
    <row r="180" ht="14.5" spans="1:16">
      <c r="A180" s="39">
        <v>414</v>
      </c>
      <c r="B180" s="39">
        <v>0</v>
      </c>
      <c r="C180" s="40">
        <v>60</v>
      </c>
      <c r="D180" s="40">
        <v>24</v>
      </c>
      <c r="E180">
        <v>138</v>
      </c>
      <c r="F180">
        <v>69</v>
      </c>
      <c r="G180" s="41">
        <v>0.5</v>
      </c>
      <c r="H180" s="39">
        <v>20</v>
      </c>
      <c r="I180" s="40">
        <v>0.5</v>
      </c>
      <c r="J180" s="45">
        <v>0</v>
      </c>
      <c r="K180" s="45">
        <v>0</v>
      </c>
      <c r="L180" s="39">
        <v>1091</v>
      </c>
      <c r="M180">
        <v>0</v>
      </c>
      <c r="N180" s="39">
        <v>588</v>
      </c>
      <c r="O180">
        <v>0</v>
      </c>
      <c r="P180" s="40">
        <v>49.5</v>
      </c>
    </row>
    <row r="181" ht="14.5" spans="1:16">
      <c r="A181" s="39">
        <v>408</v>
      </c>
      <c r="B181" s="39">
        <v>0</v>
      </c>
      <c r="C181" s="40">
        <v>60</v>
      </c>
      <c r="D181" s="40">
        <v>24</v>
      </c>
      <c r="E181">
        <v>102</v>
      </c>
      <c r="F181">
        <v>40.8</v>
      </c>
      <c r="G181" s="41">
        <v>0.4</v>
      </c>
      <c r="H181" s="39">
        <v>14</v>
      </c>
      <c r="I181" s="40">
        <v>0.35</v>
      </c>
      <c r="J181" s="45">
        <v>25.8</v>
      </c>
      <c r="K181" s="45">
        <v>6.1</v>
      </c>
      <c r="L181" s="39">
        <v>1211</v>
      </c>
      <c r="M181">
        <v>0</v>
      </c>
      <c r="N181" s="39">
        <v>647</v>
      </c>
      <c r="O181">
        <v>0</v>
      </c>
      <c r="P181" s="40">
        <v>33</v>
      </c>
    </row>
    <row r="182" ht="14.5" spans="1:16">
      <c r="A182" s="39">
        <v>444</v>
      </c>
      <c r="B182" s="39">
        <v>0</v>
      </c>
      <c r="C182" s="40">
        <v>60</v>
      </c>
      <c r="D182" s="40">
        <v>24</v>
      </c>
      <c r="E182">
        <v>111</v>
      </c>
      <c r="F182">
        <v>44.4</v>
      </c>
      <c r="G182" s="41">
        <v>0.4</v>
      </c>
      <c r="H182" s="39">
        <v>14</v>
      </c>
      <c r="I182" s="40">
        <v>0.35</v>
      </c>
      <c r="J182" s="45">
        <v>25.8</v>
      </c>
      <c r="K182" s="45">
        <v>6.1</v>
      </c>
      <c r="L182" s="39">
        <v>1170</v>
      </c>
      <c r="M182">
        <v>0</v>
      </c>
      <c r="N182" s="39">
        <v>630</v>
      </c>
      <c r="O182">
        <v>0</v>
      </c>
      <c r="P182" s="40">
        <v>49</v>
      </c>
    </row>
    <row r="183" ht="14.5" spans="1:16">
      <c r="A183" s="39">
        <v>356</v>
      </c>
      <c r="B183" s="39">
        <v>0</v>
      </c>
      <c r="C183" s="40">
        <v>60</v>
      </c>
      <c r="D183" s="40">
        <v>24</v>
      </c>
      <c r="E183">
        <v>89</v>
      </c>
      <c r="F183">
        <v>35.6</v>
      </c>
      <c r="G183" s="41">
        <v>0.4</v>
      </c>
      <c r="H183" s="39">
        <v>14</v>
      </c>
      <c r="I183" s="40">
        <v>0.35</v>
      </c>
      <c r="J183" s="45">
        <v>25.8</v>
      </c>
      <c r="K183" s="45">
        <v>6.1</v>
      </c>
      <c r="L183" s="39">
        <v>1248</v>
      </c>
      <c r="M183">
        <v>0</v>
      </c>
      <c r="N183" s="39">
        <v>672</v>
      </c>
      <c r="O183">
        <v>0</v>
      </c>
      <c r="P183" s="40">
        <v>26</v>
      </c>
    </row>
    <row r="184" ht="14.5" spans="1:16">
      <c r="A184" s="39">
        <v>424</v>
      </c>
      <c r="B184" s="39">
        <v>0</v>
      </c>
      <c r="C184" s="40">
        <v>60</v>
      </c>
      <c r="D184" s="40">
        <v>24</v>
      </c>
      <c r="E184">
        <v>90.85</v>
      </c>
      <c r="F184">
        <v>36.35</v>
      </c>
      <c r="G184" s="41">
        <v>0.4</v>
      </c>
      <c r="H184" s="39">
        <v>14</v>
      </c>
      <c r="I184" s="40">
        <v>0.3</v>
      </c>
      <c r="J184" s="45">
        <v>25.8</v>
      </c>
      <c r="K184" s="45">
        <v>6.1</v>
      </c>
      <c r="L184" s="39">
        <v>1211</v>
      </c>
      <c r="M184">
        <v>0</v>
      </c>
      <c r="N184" s="39">
        <v>647</v>
      </c>
      <c r="O184">
        <v>0</v>
      </c>
      <c r="P184" s="40">
        <v>36</v>
      </c>
    </row>
    <row r="185" ht="14.5" spans="1:16">
      <c r="A185" s="39">
        <v>381</v>
      </c>
      <c r="B185" s="39">
        <v>0</v>
      </c>
      <c r="C185" s="40">
        <v>60</v>
      </c>
      <c r="D185" s="40">
        <v>24</v>
      </c>
      <c r="E185">
        <v>122.46</v>
      </c>
      <c r="F185">
        <v>48.99</v>
      </c>
      <c r="G185" s="41">
        <v>0.4</v>
      </c>
      <c r="H185" s="39">
        <v>14</v>
      </c>
      <c r="I185" s="40">
        <v>0.45</v>
      </c>
      <c r="J185" s="45">
        <v>25.8</v>
      </c>
      <c r="K185" s="45">
        <v>6.1</v>
      </c>
      <c r="L185" s="39">
        <v>1211</v>
      </c>
      <c r="M185">
        <v>0</v>
      </c>
      <c r="N185" s="39">
        <v>647</v>
      </c>
      <c r="O185">
        <v>0</v>
      </c>
      <c r="P185" s="40">
        <v>33.8</v>
      </c>
    </row>
    <row r="186" ht="14.5" spans="1:16">
      <c r="A186" s="39">
        <v>400</v>
      </c>
      <c r="B186" s="39">
        <v>10</v>
      </c>
      <c r="C186" s="40">
        <v>25</v>
      </c>
      <c r="D186" s="40">
        <v>48</v>
      </c>
      <c r="E186">
        <v>117.14</v>
      </c>
      <c r="F186">
        <v>46.86</v>
      </c>
      <c r="G186" s="41">
        <v>0.4</v>
      </c>
      <c r="H186" s="39">
        <v>14</v>
      </c>
      <c r="I186" s="40">
        <v>0.4</v>
      </c>
      <c r="J186" s="45">
        <v>0</v>
      </c>
      <c r="K186" s="45">
        <v>0</v>
      </c>
      <c r="L186" s="39">
        <v>1209</v>
      </c>
      <c r="M186">
        <v>0</v>
      </c>
      <c r="N186" s="39">
        <v>651</v>
      </c>
      <c r="O186">
        <v>0</v>
      </c>
      <c r="P186" s="40">
        <v>40</v>
      </c>
    </row>
    <row r="187" ht="14.5" spans="1:16">
      <c r="A187" s="39">
        <v>400</v>
      </c>
      <c r="B187" s="39">
        <v>20</v>
      </c>
      <c r="C187" s="40">
        <v>25</v>
      </c>
      <c r="D187" s="40">
        <v>48</v>
      </c>
      <c r="E187">
        <v>120</v>
      </c>
      <c r="F187">
        <v>48</v>
      </c>
      <c r="G187" s="41">
        <v>0.4</v>
      </c>
      <c r="H187" s="39">
        <v>14</v>
      </c>
      <c r="I187" s="40">
        <v>0.4</v>
      </c>
      <c r="J187" s="45">
        <v>0</v>
      </c>
      <c r="K187" s="45">
        <v>0</v>
      </c>
      <c r="L187" s="39">
        <v>1209</v>
      </c>
      <c r="M187">
        <v>0</v>
      </c>
      <c r="N187" s="39">
        <v>651</v>
      </c>
      <c r="O187">
        <v>0</v>
      </c>
      <c r="P187" s="40">
        <v>47</v>
      </c>
    </row>
    <row r="188" ht="14.5" spans="1:16">
      <c r="A188" s="39">
        <v>400</v>
      </c>
      <c r="B188" s="39">
        <v>10</v>
      </c>
      <c r="C188" s="40">
        <v>25</v>
      </c>
      <c r="D188" s="40">
        <v>48</v>
      </c>
      <c r="E188">
        <v>98.2</v>
      </c>
      <c r="F188">
        <v>65.8</v>
      </c>
      <c r="G188" s="41">
        <v>0.67</v>
      </c>
      <c r="H188" s="39">
        <v>14</v>
      </c>
      <c r="I188" s="40">
        <v>0.4</v>
      </c>
      <c r="J188" s="45">
        <v>0</v>
      </c>
      <c r="K188" s="45">
        <v>0</v>
      </c>
      <c r="L188" s="39">
        <v>1209</v>
      </c>
      <c r="M188">
        <v>0</v>
      </c>
      <c r="N188" s="39">
        <v>651</v>
      </c>
      <c r="O188">
        <v>0</v>
      </c>
      <c r="P188" s="40">
        <v>43</v>
      </c>
    </row>
    <row r="189" ht="14.5" spans="1:16">
      <c r="A189" s="39">
        <v>400</v>
      </c>
      <c r="B189" s="39">
        <v>20</v>
      </c>
      <c r="C189" s="40">
        <v>25</v>
      </c>
      <c r="D189" s="40">
        <v>48</v>
      </c>
      <c r="E189">
        <v>100.59</v>
      </c>
      <c r="F189">
        <v>67.41</v>
      </c>
      <c r="G189" s="41">
        <v>0.67</v>
      </c>
      <c r="H189" s="39">
        <v>14</v>
      </c>
      <c r="I189" s="40">
        <v>0.4</v>
      </c>
      <c r="J189" s="45">
        <v>0</v>
      </c>
      <c r="K189" s="45">
        <v>0</v>
      </c>
      <c r="L189" s="39">
        <v>1209</v>
      </c>
      <c r="M189">
        <v>0</v>
      </c>
      <c r="N189" s="39">
        <v>651</v>
      </c>
      <c r="O189">
        <v>0</v>
      </c>
      <c r="P189" s="40">
        <v>54</v>
      </c>
    </row>
    <row r="190" ht="14.5" spans="1:16">
      <c r="A190" s="39">
        <v>400</v>
      </c>
      <c r="B190" s="39">
        <v>0</v>
      </c>
      <c r="C190" s="40">
        <v>25</v>
      </c>
      <c r="D190" s="40">
        <v>48</v>
      </c>
      <c r="E190">
        <v>100</v>
      </c>
      <c r="F190">
        <v>40</v>
      </c>
      <c r="G190" s="41">
        <v>0.4</v>
      </c>
      <c r="H190" s="39">
        <v>14</v>
      </c>
      <c r="I190" s="40">
        <v>0.35</v>
      </c>
      <c r="J190" s="45">
        <v>0</v>
      </c>
      <c r="K190" s="45">
        <v>6</v>
      </c>
      <c r="L190" s="39">
        <v>1222</v>
      </c>
      <c r="M190">
        <v>0</v>
      </c>
      <c r="N190" s="39">
        <v>658</v>
      </c>
      <c r="O190">
        <v>0</v>
      </c>
      <c r="P190" s="40">
        <v>25</v>
      </c>
    </row>
    <row r="191" ht="14.5" spans="1:16">
      <c r="A191" s="39">
        <v>400</v>
      </c>
      <c r="B191" s="39">
        <v>10</v>
      </c>
      <c r="C191" s="40">
        <v>25</v>
      </c>
      <c r="D191" s="40">
        <v>48</v>
      </c>
      <c r="E191">
        <v>102.5</v>
      </c>
      <c r="F191">
        <v>41</v>
      </c>
      <c r="G191" s="41">
        <v>0.4</v>
      </c>
      <c r="H191" s="39">
        <v>14</v>
      </c>
      <c r="I191" s="40">
        <v>0.35</v>
      </c>
      <c r="J191" s="45">
        <v>8</v>
      </c>
      <c r="K191" s="45">
        <v>6</v>
      </c>
      <c r="L191" s="39">
        <v>1216</v>
      </c>
      <c r="M191">
        <v>0</v>
      </c>
      <c r="N191" s="39">
        <v>655</v>
      </c>
      <c r="O191">
        <v>0</v>
      </c>
      <c r="P191" s="40">
        <v>27</v>
      </c>
    </row>
    <row r="192" ht="14.5" spans="1:16">
      <c r="A192" s="39">
        <v>400</v>
      </c>
      <c r="B192" s="39">
        <v>20</v>
      </c>
      <c r="C192" s="40">
        <v>25</v>
      </c>
      <c r="D192" s="40">
        <v>48</v>
      </c>
      <c r="E192">
        <v>105</v>
      </c>
      <c r="F192">
        <v>42</v>
      </c>
      <c r="G192" s="41">
        <v>0.4</v>
      </c>
      <c r="H192" s="39">
        <v>14</v>
      </c>
      <c r="I192" s="40">
        <v>0.35</v>
      </c>
      <c r="J192" s="45">
        <v>8</v>
      </c>
      <c r="K192" s="45">
        <v>6</v>
      </c>
      <c r="L192" s="39">
        <v>1216</v>
      </c>
      <c r="M192">
        <v>0</v>
      </c>
      <c r="N192" s="39">
        <v>655</v>
      </c>
      <c r="O192">
        <v>0</v>
      </c>
      <c r="P192" s="40">
        <v>35</v>
      </c>
    </row>
    <row r="193" ht="14.5" spans="1:16">
      <c r="A193" s="39">
        <v>400</v>
      </c>
      <c r="B193" s="39">
        <v>0</v>
      </c>
      <c r="C193" s="40">
        <v>25</v>
      </c>
      <c r="D193" s="40">
        <v>48</v>
      </c>
      <c r="E193">
        <v>83.83</v>
      </c>
      <c r="F193">
        <v>56.17</v>
      </c>
      <c r="G193" s="41">
        <v>0.67</v>
      </c>
      <c r="H193" s="39">
        <v>14</v>
      </c>
      <c r="I193" s="40">
        <v>0.35</v>
      </c>
      <c r="J193" s="45">
        <v>0</v>
      </c>
      <c r="K193" s="45">
        <v>6</v>
      </c>
      <c r="L193" s="39">
        <v>1222</v>
      </c>
      <c r="M193">
        <v>0</v>
      </c>
      <c r="N193" s="39">
        <v>658</v>
      </c>
      <c r="O193">
        <v>0</v>
      </c>
      <c r="P193" s="40">
        <v>27</v>
      </c>
    </row>
    <row r="194" ht="14.5" spans="1:16">
      <c r="A194" s="39">
        <v>400</v>
      </c>
      <c r="B194" s="39">
        <v>10</v>
      </c>
      <c r="C194" s="40">
        <v>25</v>
      </c>
      <c r="D194" s="40">
        <v>48</v>
      </c>
      <c r="E194">
        <v>85.92</v>
      </c>
      <c r="F194">
        <v>57.58</v>
      </c>
      <c r="G194" s="41">
        <v>0.67</v>
      </c>
      <c r="H194" s="39">
        <v>14</v>
      </c>
      <c r="I194" s="40">
        <v>0.35</v>
      </c>
      <c r="J194" s="45">
        <v>8</v>
      </c>
      <c r="K194" s="45">
        <v>6</v>
      </c>
      <c r="L194" s="39">
        <v>1216</v>
      </c>
      <c r="M194">
        <v>0</v>
      </c>
      <c r="N194" s="39">
        <v>655</v>
      </c>
      <c r="O194">
        <v>0</v>
      </c>
      <c r="P194" s="40">
        <v>27</v>
      </c>
    </row>
    <row r="195" ht="14.5" spans="1:16">
      <c r="A195" s="39">
        <v>400</v>
      </c>
      <c r="B195" s="39">
        <v>20</v>
      </c>
      <c r="C195" s="40">
        <v>25</v>
      </c>
      <c r="D195" s="40">
        <v>48</v>
      </c>
      <c r="E195">
        <v>88.02</v>
      </c>
      <c r="F195">
        <v>58.98</v>
      </c>
      <c r="G195" s="41">
        <v>0.67</v>
      </c>
      <c r="H195" s="39">
        <v>14</v>
      </c>
      <c r="I195" s="40">
        <v>0.35</v>
      </c>
      <c r="J195" s="45">
        <v>8</v>
      </c>
      <c r="K195" s="45">
        <v>6</v>
      </c>
      <c r="L195" s="39">
        <v>1216</v>
      </c>
      <c r="M195">
        <v>0</v>
      </c>
      <c r="N195" s="39">
        <v>655</v>
      </c>
      <c r="O195">
        <v>0</v>
      </c>
      <c r="P195" s="40">
        <v>45</v>
      </c>
    </row>
    <row r="196" ht="14.5" spans="1:16">
      <c r="A196" s="39">
        <v>400</v>
      </c>
      <c r="B196" s="39">
        <v>10</v>
      </c>
      <c r="C196" s="40">
        <v>20</v>
      </c>
      <c r="D196" s="40">
        <v>48</v>
      </c>
      <c r="E196">
        <v>109.33</v>
      </c>
      <c r="F196">
        <v>54.67</v>
      </c>
      <c r="G196" s="41">
        <v>0.5</v>
      </c>
      <c r="H196" s="39">
        <v>10</v>
      </c>
      <c r="I196" s="40">
        <v>0.4</v>
      </c>
      <c r="J196" s="45">
        <v>0</v>
      </c>
      <c r="K196" s="45">
        <v>4</v>
      </c>
      <c r="L196" s="39">
        <v>1197</v>
      </c>
      <c r="M196">
        <v>0</v>
      </c>
      <c r="N196" s="39">
        <v>644</v>
      </c>
      <c r="O196">
        <v>0</v>
      </c>
      <c r="P196" s="40">
        <v>19</v>
      </c>
    </row>
    <row r="197" ht="14.5" spans="1:16">
      <c r="A197" s="39">
        <v>400</v>
      </c>
      <c r="B197" s="39">
        <v>15</v>
      </c>
      <c r="C197" s="40">
        <v>20</v>
      </c>
      <c r="D197" s="40">
        <v>48</v>
      </c>
      <c r="E197">
        <v>110.66</v>
      </c>
      <c r="F197">
        <v>55.34</v>
      </c>
      <c r="G197" s="41">
        <v>0.5</v>
      </c>
      <c r="H197" s="39">
        <v>10</v>
      </c>
      <c r="I197" s="40">
        <v>0.4</v>
      </c>
      <c r="J197" s="45">
        <v>0</v>
      </c>
      <c r="K197" s="45">
        <v>4</v>
      </c>
      <c r="L197" s="39">
        <v>1200</v>
      </c>
      <c r="M197">
        <v>0</v>
      </c>
      <c r="N197" s="39">
        <v>646</v>
      </c>
      <c r="O197">
        <v>0</v>
      </c>
      <c r="P197" s="40">
        <v>28</v>
      </c>
    </row>
    <row r="198" ht="14.5" spans="1:16">
      <c r="A198" s="39">
        <v>400</v>
      </c>
      <c r="B198" s="39">
        <v>20</v>
      </c>
      <c r="C198" s="40">
        <v>20</v>
      </c>
      <c r="D198" s="40">
        <v>48</v>
      </c>
      <c r="E198">
        <v>112</v>
      </c>
      <c r="F198">
        <v>56</v>
      </c>
      <c r="G198" s="41">
        <v>0.5</v>
      </c>
      <c r="H198" s="39">
        <v>10</v>
      </c>
      <c r="I198" s="40">
        <v>0.4</v>
      </c>
      <c r="J198" s="45">
        <v>0</v>
      </c>
      <c r="K198" s="45">
        <v>4</v>
      </c>
      <c r="L198" s="39">
        <v>1203</v>
      </c>
      <c r="M198">
        <v>0</v>
      </c>
      <c r="N198" s="39">
        <v>648</v>
      </c>
      <c r="O198">
        <v>0</v>
      </c>
      <c r="P198" s="40">
        <v>37.5</v>
      </c>
    </row>
    <row r="199" ht="14.5" spans="1:16">
      <c r="A199" s="39">
        <v>400</v>
      </c>
      <c r="B199" s="39">
        <v>25</v>
      </c>
      <c r="C199" s="40">
        <v>20</v>
      </c>
      <c r="D199" s="40">
        <v>48</v>
      </c>
      <c r="E199">
        <v>113.33</v>
      </c>
      <c r="F199">
        <v>56.67</v>
      </c>
      <c r="G199" s="41">
        <v>0.5</v>
      </c>
      <c r="H199" s="39">
        <v>10</v>
      </c>
      <c r="I199" s="40">
        <v>0.4</v>
      </c>
      <c r="J199" s="45">
        <v>0</v>
      </c>
      <c r="K199" s="45">
        <v>4</v>
      </c>
      <c r="L199" s="39">
        <v>1207</v>
      </c>
      <c r="M199">
        <v>0</v>
      </c>
      <c r="N199" s="39">
        <v>650</v>
      </c>
      <c r="O199">
        <v>0</v>
      </c>
      <c r="P199" s="40">
        <v>44</v>
      </c>
    </row>
    <row r="200" ht="14.5" spans="1:16">
      <c r="A200" s="39">
        <v>400</v>
      </c>
      <c r="B200" s="39">
        <v>30</v>
      </c>
      <c r="C200" s="40">
        <v>20</v>
      </c>
      <c r="D200" s="40">
        <v>48</v>
      </c>
      <c r="E200">
        <v>114.66</v>
      </c>
      <c r="F200">
        <v>57.34</v>
      </c>
      <c r="G200" s="41">
        <v>0.5</v>
      </c>
      <c r="H200" s="39">
        <v>10</v>
      </c>
      <c r="I200" s="40">
        <v>0.4</v>
      </c>
      <c r="J200" s="45">
        <v>0</v>
      </c>
      <c r="K200" s="45">
        <v>4</v>
      </c>
      <c r="L200" s="39">
        <v>1210</v>
      </c>
      <c r="M200">
        <v>0</v>
      </c>
      <c r="N200" s="39">
        <v>652</v>
      </c>
      <c r="O200">
        <v>0</v>
      </c>
      <c r="P200" s="40">
        <v>61</v>
      </c>
    </row>
    <row r="201" ht="14.5" spans="1:16">
      <c r="A201" s="39">
        <v>400</v>
      </c>
      <c r="B201" s="39">
        <v>15</v>
      </c>
      <c r="C201" s="40">
        <v>20</v>
      </c>
      <c r="D201" s="40">
        <v>48</v>
      </c>
      <c r="E201">
        <v>110.66</v>
      </c>
      <c r="F201">
        <v>55.34</v>
      </c>
      <c r="G201" s="41">
        <v>0.5</v>
      </c>
      <c r="H201" s="39">
        <v>12</v>
      </c>
      <c r="I201" s="40">
        <v>0.4</v>
      </c>
      <c r="J201" s="45">
        <v>0</v>
      </c>
      <c r="K201" s="45">
        <v>4</v>
      </c>
      <c r="L201" s="39">
        <v>1200</v>
      </c>
      <c r="M201">
        <v>0</v>
      </c>
      <c r="N201" s="39">
        <v>646</v>
      </c>
      <c r="O201">
        <v>0</v>
      </c>
      <c r="P201" s="40">
        <v>31</v>
      </c>
    </row>
    <row r="202" ht="14.5" spans="1:16">
      <c r="A202" s="39">
        <v>400</v>
      </c>
      <c r="B202" s="39">
        <v>20</v>
      </c>
      <c r="C202" s="40">
        <v>20</v>
      </c>
      <c r="D202" s="40">
        <v>48</v>
      </c>
      <c r="E202">
        <v>112</v>
      </c>
      <c r="F202">
        <v>56</v>
      </c>
      <c r="G202" s="41">
        <v>0.5</v>
      </c>
      <c r="H202" s="39">
        <v>12</v>
      </c>
      <c r="I202" s="40">
        <v>0.4</v>
      </c>
      <c r="J202" s="45">
        <v>0</v>
      </c>
      <c r="K202" s="45">
        <v>4</v>
      </c>
      <c r="L202" s="39">
        <v>1203</v>
      </c>
      <c r="M202">
        <v>0</v>
      </c>
      <c r="N202" s="39">
        <v>648</v>
      </c>
      <c r="O202">
        <v>0</v>
      </c>
      <c r="P202" s="40">
        <v>43.5</v>
      </c>
    </row>
    <row r="203" ht="14.5" spans="1:16">
      <c r="A203" s="39">
        <v>400</v>
      </c>
      <c r="B203" s="39">
        <v>25</v>
      </c>
      <c r="C203" s="40">
        <v>20</v>
      </c>
      <c r="D203" s="40">
        <v>48</v>
      </c>
      <c r="E203">
        <v>113.33</v>
      </c>
      <c r="F203">
        <v>56.67</v>
      </c>
      <c r="G203" s="41">
        <v>0.5</v>
      </c>
      <c r="H203" s="39">
        <v>12</v>
      </c>
      <c r="I203" s="40">
        <v>0.4</v>
      </c>
      <c r="J203" s="45">
        <v>0</v>
      </c>
      <c r="K203" s="45">
        <v>4</v>
      </c>
      <c r="L203" s="39">
        <v>1222</v>
      </c>
      <c r="M203">
        <v>0</v>
      </c>
      <c r="N203" s="39">
        <v>658</v>
      </c>
      <c r="O203">
        <v>0</v>
      </c>
      <c r="P203" s="40">
        <v>56</v>
      </c>
    </row>
    <row r="204" ht="14.5" spans="1:16">
      <c r="A204" s="39">
        <v>400</v>
      </c>
      <c r="B204" s="39">
        <v>15</v>
      </c>
      <c r="C204" s="40">
        <v>20</v>
      </c>
      <c r="D204" s="40">
        <v>48</v>
      </c>
      <c r="E204">
        <v>96.83</v>
      </c>
      <c r="F204">
        <v>48.42</v>
      </c>
      <c r="G204" s="41">
        <v>0.5</v>
      </c>
      <c r="H204" s="39">
        <v>10</v>
      </c>
      <c r="I204" s="40">
        <v>0.35</v>
      </c>
      <c r="J204" s="45">
        <v>0</v>
      </c>
      <c r="K204" s="45">
        <v>4</v>
      </c>
      <c r="L204" s="39">
        <v>1209</v>
      </c>
      <c r="M204">
        <v>0</v>
      </c>
      <c r="N204" s="39">
        <v>651</v>
      </c>
      <c r="O204">
        <v>0</v>
      </c>
      <c r="P204" s="40">
        <v>31</v>
      </c>
    </row>
    <row r="205" ht="14.5" spans="1:16">
      <c r="A205" s="39">
        <v>400</v>
      </c>
      <c r="B205" s="39">
        <v>20</v>
      </c>
      <c r="C205" s="40">
        <v>20</v>
      </c>
      <c r="D205" s="40">
        <v>48</v>
      </c>
      <c r="E205">
        <v>98</v>
      </c>
      <c r="F205">
        <v>49</v>
      </c>
      <c r="G205" s="41">
        <v>0.5</v>
      </c>
      <c r="H205" s="39">
        <v>10</v>
      </c>
      <c r="I205" s="40">
        <v>0.35</v>
      </c>
      <c r="J205" s="45">
        <v>0</v>
      </c>
      <c r="K205" s="45">
        <v>4</v>
      </c>
      <c r="L205" s="39">
        <v>1227</v>
      </c>
      <c r="M205">
        <v>0</v>
      </c>
      <c r="N205" s="39">
        <v>661</v>
      </c>
      <c r="O205">
        <v>0</v>
      </c>
      <c r="P205" s="40">
        <v>38</v>
      </c>
    </row>
    <row r="206" ht="14.5" spans="1:16">
      <c r="A206" s="39">
        <v>400</v>
      </c>
      <c r="B206" s="39">
        <v>25</v>
      </c>
      <c r="C206" s="40">
        <v>20</v>
      </c>
      <c r="D206" s="40">
        <v>48</v>
      </c>
      <c r="E206">
        <v>99.16</v>
      </c>
      <c r="F206">
        <v>49.59</v>
      </c>
      <c r="G206" s="41">
        <v>0.5</v>
      </c>
      <c r="H206" s="39">
        <v>10</v>
      </c>
      <c r="I206" s="40">
        <v>0.35</v>
      </c>
      <c r="J206" s="45">
        <v>0</v>
      </c>
      <c r="K206" s="45">
        <v>4</v>
      </c>
      <c r="L206" s="39">
        <v>1246</v>
      </c>
      <c r="M206">
        <v>0</v>
      </c>
      <c r="N206" s="39">
        <v>671</v>
      </c>
      <c r="O206">
        <v>0</v>
      </c>
      <c r="P206" s="40">
        <v>48</v>
      </c>
    </row>
    <row r="207" ht="14.5" spans="1:16">
      <c r="A207" s="39">
        <v>400</v>
      </c>
      <c r="B207" s="39">
        <v>15</v>
      </c>
      <c r="C207" s="40">
        <v>20</v>
      </c>
      <c r="D207" s="40">
        <v>48</v>
      </c>
      <c r="E207">
        <v>99.4</v>
      </c>
      <c r="F207">
        <v>66.6</v>
      </c>
      <c r="G207" s="41">
        <v>0.67</v>
      </c>
      <c r="H207" s="39">
        <v>10</v>
      </c>
      <c r="I207" s="40">
        <v>0.4</v>
      </c>
      <c r="J207" s="45">
        <v>0</v>
      </c>
      <c r="K207" s="45">
        <v>4</v>
      </c>
      <c r="L207" s="39">
        <v>1184</v>
      </c>
      <c r="M207">
        <v>0</v>
      </c>
      <c r="N207" s="39">
        <v>637</v>
      </c>
      <c r="O207">
        <v>0</v>
      </c>
      <c r="P207" s="40">
        <v>28</v>
      </c>
    </row>
    <row r="208" ht="14.5" spans="1:16">
      <c r="A208" s="39">
        <v>400</v>
      </c>
      <c r="B208" s="39">
        <v>25</v>
      </c>
      <c r="C208" s="40">
        <v>20</v>
      </c>
      <c r="D208" s="40">
        <v>48</v>
      </c>
      <c r="E208">
        <v>121.42</v>
      </c>
      <c r="F208">
        <v>48.58</v>
      </c>
      <c r="G208" s="41">
        <v>0.4</v>
      </c>
      <c r="H208" s="39">
        <v>10</v>
      </c>
      <c r="I208" s="40">
        <v>0.4</v>
      </c>
      <c r="J208" s="45">
        <v>0</v>
      </c>
      <c r="K208" s="45">
        <v>4</v>
      </c>
      <c r="L208" s="39">
        <v>1223</v>
      </c>
      <c r="M208">
        <v>0</v>
      </c>
      <c r="N208" s="39">
        <v>659</v>
      </c>
      <c r="O208">
        <v>0</v>
      </c>
      <c r="P208" s="40">
        <v>42</v>
      </c>
    </row>
    <row r="209" ht="14.5" spans="1:16">
      <c r="A209" s="39">
        <v>381</v>
      </c>
      <c r="B209" s="39">
        <v>20</v>
      </c>
      <c r="C209" s="40">
        <v>20</v>
      </c>
      <c r="D209" s="40">
        <v>48</v>
      </c>
      <c r="E209">
        <v>74.8500000000001</v>
      </c>
      <c r="F209">
        <v>149.71</v>
      </c>
      <c r="G209" s="41">
        <v>2</v>
      </c>
      <c r="H209" s="39">
        <v>6</v>
      </c>
      <c r="I209" s="40">
        <v>0.56</v>
      </c>
      <c r="J209" s="45">
        <v>0</v>
      </c>
      <c r="K209" s="45">
        <v>0</v>
      </c>
      <c r="L209" s="39">
        <v>1005</v>
      </c>
      <c r="M209">
        <v>0</v>
      </c>
      <c r="N209" s="39">
        <v>760</v>
      </c>
      <c r="O209">
        <v>0</v>
      </c>
      <c r="P209" s="40">
        <v>37.4</v>
      </c>
    </row>
    <row r="210" ht="14.5" spans="1:16">
      <c r="A210" s="39">
        <v>381</v>
      </c>
      <c r="B210" s="39">
        <v>20</v>
      </c>
      <c r="C210" s="40">
        <v>20</v>
      </c>
      <c r="D210" s="40">
        <v>48</v>
      </c>
      <c r="E210">
        <v>112.28</v>
      </c>
      <c r="F210">
        <v>112.28</v>
      </c>
      <c r="G210" s="41">
        <v>1</v>
      </c>
      <c r="H210" s="39">
        <v>6</v>
      </c>
      <c r="I210" s="40">
        <v>0.56</v>
      </c>
      <c r="J210" s="45">
        <v>0</v>
      </c>
      <c r="K210" s="45">
        <v>0</v>
      </c>
      <c r="L210" s="39">
        <v>1005</v>
      </c>
      <c r="M210">
        <v>0</v>
      </c>
      <c r="N210" s="39">
        <v>760</v>
      </c>
      <c r="O210">
        <v>0</v>
      </c>
      <c r="P210" s="40">
        <v>26.6</v>
      </c>
    </row>
    <row r="211" ht="14.5" spans="1:16">
      <c r="A211" s="39">
        <v>381</v>
      </c>
      <c r="B211" s="39">
        <v>20</v>
      </c>
      <c r="C211" s="40">
        <v>20</v>
      </c>
      <c r="D211" s="40">
        <v>48</v>
      </c>
      <c r="E211">
        <v>74.8500000000001</v>
      </c>
      <c r="F211">
        <v>149.71</v>
      </c>
      <c r="G211" s="41">
        <v>2</v>
      </c>
      <c r="H211" s="39">
        <v>4</v>
      </c>
      <c r="I211" s="40">
        <v>0.56</v>
      </c>
      <c r="J211" s="45">
        <v>0</v>
      </c>
      <c r="K211" s="45">
        <v>0</v>
      </c>
      <c r="L211" s="39">
        <v>1005</v>
      </c>
      <c r="M211">
        <v>0</v>
      </c>
      <c r="N211" s="39">
        <v>760</v>
      </c>
      <c r="O211">
        <v>0</v>
      </c>
      <c r="P211" s="40">
        <v>29.9</v>
      </c>
    </row>
    <row r="212" ht="14.5" spans="1:16">
      <c r="A212" s="39">
        <v>381</v>
      </c>
      <c r="B212" s="39">
        <v>20</v>
      </c>
      <c r="C212" s="40">
        <v>20</v>
      </c>
      <c r="D212" s="40">
        <v>48</v>
      </c>
      <c r="E212">
        <v>112.28</v>
      </c>
      <c r="F212">
        <v>112.28</v>
      </c>
      <c r="G212" s="41">
        <v>1</v>
      </c>
      <c r="H212" s="39">
        <v>4</v>
      </c>
      <c r="I212" s="40">
        <v>0.56</v>
      </c>
      <c r="J212" s="45">
        <v>0</v>
      </c>
      <c r="K212" s="45">
        <v>0</v>
      </c>
      <c r="L212" s="39">
        <v>1005</v>
      </c>
      <c r="M212">
        <v>0</v>
      </c>
      <c r="N212" s="39">
        <v>760</v>
      </c>
      <c r="O212">
        <v>0</v>
      </c>
      <c r="P212" s="40">
        <v>30.7</v>
      </c>
    </row>
    <row r="213" ht="14.5" spans="1:16">
      <c r="A213" s="39">
        <v>379</v>
      </c>
      <c r="B213" s="39">
        <v>15</v>
      </c>
      <c r="C213" s="40">
        <v>20</v>
      </c>
      <c r="D213" s="40">
        <v>48</v>
      </c>
      <c r="E213">
        <v>73.54</v>
      </c>
      <c r="F213">
        <v>147.1</v>
      </c>
      <c r="G213" s="41">
        <v>2</v>
      </c>
      <c r="H213" s="39">
        <v>4</v>
      </c>
      <c r="I213" s="40">
        <v>0.56</v>
      </c>
      <c r="J213" s="45">
        <v>0</v>
      </c>
      <c r="K213" s="45">
        <v>0</v>
      </c>
      <c r="L213" s="39">
        <v>1005</v>
      </c>
      <c r="M213">
        <v>0</v>
      </c>
      <c r="N213" s="39">
        <v>760</v>
      </c>
      <c r="O213">
        <v>0</v>
      </c>
      <c r="P213" s="40">
        <v>23</v>
      </c>
    </row>
    <row r="214" ht="14.5" spans="1:16">
      <c r="A214" s="39">
        <v>381</v>
      </c>
      <c r="B214" s="39">
        <v>20</v>
      </c>
      <c r="C214" s="40">
        <v>20</v>
      </c>
      <c r="D214" s="40">
        <v>48</v>
      </c>
      <c r="E214">
        <v>74.8500000000001</v>
      </c>
      <c r="F214">
        <v>149.71</v>
      </c>
      <c r="G214" s="41">
        <v>2</v>
      </c>
      <c r="H214" s="39">
        <v>4</v>
      </c>
      <c r="I214" s="40">
        <v>0.56</v>
      </c>
      <c r="J214" s="45">
        <v>0</v>
      </c>
      <c r="K214" s="45">
        <v>0</v>
      </c>
      <c r="L214" s="39">
        <v>1005</v>
      </c>
      <c r="M214">
        <v>0</v>
      </c>
      <c r="N214" s="39">
        <v>760</v>
      </c>
      <c r="O214">
        <v>0</v>
      </c>
      <c r="P214" s="40">
        <v>30.6</v>
      </c>
    </row>
    <row r="215" ht="14.5" spans="1:16">
      <c r="A215" s="39">
        <v>408</v>
      </c>
      <c r="B215" s="39">
        <v>0</v>
      </c>
      <c r="C215" s="40">
        <v>20</v>
      </c>
      <c r="D215" s="40">
        <v>48</v>
      </c>
      <c r="E215">
        <v>102</v>
      </c>
      <c r="F215">
        <v>40.8</v>
      </c>
      <c r="G215" s="41">
        <v>0.4</v>
      </c>
      <c r="H215" s="39">
        <v>8</v>
      </c>
      <c r="I215" s="40">
        <v>0.35</v>
      </c>
      <c r="J215" s="45">
        <v>0</v>
      </c>
      <c r="K215" s="45">
        <v>0</v>
      </c>
      <c r="L215" s="39">
        <v>442</v>
      </c>
      <c r="M215">
        <v>0</v>
      </c>
      <c r="N215" s="39">
        <v>505</v>
      </c>
      <c r="O215">
        <v>0</v>
      </c>
      <c r="P215" s="40">
        <v>20.15</v>
      </c>
    </row>
    <row r="216" ht="14.5" spans="1:16">
      <c r="A216" s="39">
        <v>408</v>
      </c>
      <c r="B216" s="39">
        <v>0</v>
      </c>
      <c r="C216" s="40">
        <v>20</v>
      </c>
      <c r="D216" s="40">
        <v>48</v>
      </c>
      <c r="E216">
        <v>102</v>
      </c>
      <c r="F216">
        <v>40.8</v>
      </c>
      <c r="G216" s="41">
        <v>0.4</v>
      </c>
      <c r="H216" s="39">
        <v>10</v>
      </c>
      <c r="I216" s="40">
        <v>0.35</v>
      </c>
      <c r="J216" s="45">
        <v>0</v>
      </c>
      <c r="K216" s="45">
        <v>0</v>
      </c>
      <c r="L216" s="39">
        <v>442</v>
      </c>
      <c r="M216">
        <v>0</v>
      </c>
      <c r="N216" s="39">
        <v>505</v>
      </c>
      <c r="O216">
        <v>0</v>
      </c>
      <c r="P216" s="40">
        <v>22.08</v>
      </c>
    </row>
    <row r="217" ht="14.5" spans="1:16">
      <c r="A217" s="39">
        <v>408</v>
      </c>
      <c r="B217" s="39">
        <v>0</v>
      </c>
      <c r="C217" s="40">
        <v>20</v>
      </c>
      <c r="D217" s="40">
        <v>48</v>
      </c>
      <c r="E217">
        <v>102</v>
      </c>
      <c r="F217">
        <v>40.8</v>
      </c>
      <c r="G217" s="41">
        <v>0.4</v>
      </c>
      <c r="H217" s="39">
        <v>12</v>
      </c>
      <c r="I217" s="40">
        <v>0.35</v>
      </c>
      <c r="J217" s="45">
        <v>0</v>
      </c>
      <c r="K217" s="45">
        <v>0</v>
      </c>
      <c r="L217" s="39">
        <v>442</v>
      </c>
      <c r="M217">
        <v>0</v>
      </c>
      <c r="N217" s="39">
        <v>505</v>
      </c>
      <c r="O217">
        <v>0</v>
      </c>
      <c r="P217" s="40">
        <v>24.65</v>
      </c>
    </row>
    <row r="218" ht="14.5" spans="1:16">
      <c r="A218" s="39">
        <v>408</v>
      </c>
      <c r="B218" s="39">
        <v>0</v>
      </c>
      <c r="C218" s="40">
        <v>20</v>
      </c>
      <c r="D218" s="40">
        <v>48</v>
      </c>
      <c r="E218">
        <v>102</v>
      </c>
      <c r="F218">
        <v>40.8</v>
      </c>
      <c r="G218" s="41">
        <v>0.4</v>
      </c>
      <c r="H218" s="39">
        <v>14</v>
      </c>
      <c r="I218" s="40">
        <v>0.35</v>
      </c>
      <c r="J218" s="45">
        <v>0</v>
      </c>
      <c r="K218" s="45">
        <v>0</v>
      </c>
      <c r="L218" s="39">
        <v>442</v>
      </c>
      <c r="M218">
        <v>0</v>
      </c>
      <c r="N218" s="39">
        <v>505</v>
      </c>
      <c r="O218">
        <v>0</v>
      </c>
      <c r="P218" s="40">
        <v>25.73</v>
      </c>
    </row>
    <row r="219" ht="14.5" spans="1:16">
      <c r="A219" s="39">
        <v>400</v>
      </c>
      <c r="B219" s="39">
        <v>20</v>
      </c>
      <c r="C219" s="40">
        <v>20</v>
      </c>
      <c r="D219" s="40">
        <v>48</v>
      </c>
      <c r="E219">
        <v>120</v>
      </c>
      <c r="F219">
        <v>48</v>
      </c>
      <c r="G219" s="41">
        <v>0.4</v>
      </c>
      <c r="H219" s="39">
        <v>8</v>
      </c>
      <c r="I219" s="40">
        <v>0.4</v>
      </c>
      <c r="J219" s="45">
        <v>35</v>
      </c>
      <c r="K219" s="45">
        <v>8</v>
      </c>
      <c r="L219" s="39">
        <v>1120</v>
      </c>
      <c r="M219">
        <v>0</v>
      </c>
      <c r="N219" s="39">
        <v>640</v>
      </c>
      <c r="O219">
        <v>0</v>
      </c>
      <c r="P219" s="40">
        <v>21</v>
      </c>
    </row>
    <row r="220" ht="14.5" spans="1:16">
      <c r="A220" s="39">
        <v>400</v>
      </c>
      <c r="B220" s="39">
        <v>40</v>
      </c>
      <c r="C220" s="40">
        <v>20</v>
      </c>
      <c r="D220" s="40">
        <v>48</v>
      </c>
      <c r="E220">
        <v>125.71</v>
      </c>
      <c r="F220">
        <v>50.29</v>
      </c>
      <c r="G220" s="41">
        <v>0.4</v>
      </c>
      <c r="H220" s="39">
        <v>8</v>
      </c>
      <c r="I220" s="40">
        <v>0.4</v>
      </c>
      <c r="J220" s="45">
        <v>35</v>
      </c>
      <c r="K220" s="45">
        <v>8</v>
      </c>
      <c r="L220" s="39">
        <v>1120</v>
      </c>
      <c r="M220">
        <v>0</v>
      </c>
      <c r="N220" s="39">
        <v>640</v>
      </c>
      <c r="O220">
        <v>0</v>
      </c>
      <c r="P220" s="40">
        <v>26</v>
      </c>
    </row>
    <row r="221" ht="14.5" spans="1:16">
      <c r="A221" s="39">
        <v>400</v>
      </c>
      <c r="B221" s="39">
        <v>60</v>
      </c>
      <c r="C221" s="40">
        <v>20</v>
      </c>
      <c r="D221" s="40">
        <v>48</v>
      </c>
      <c r="E221">
        <v>131.42</v>
      </c>
      <c r="F221">
        <v>52.58</v>
      </c>
      <c r="G221" s="41">
        <v>0.4</v>
      </c>
      <c r="H221" s="39">
        <v>8</v>
      </c>
      <c r="I221" s="40">
        <v>0.4</v>
      </c>
      <c r="J221" s="45">
        <v>35</v>
      </c>
      <c r="K221" s="45">
        <v>8</v>
      </c>
      <c r="L221" s="39">
        <v>1120</v>
      </c>
      <c r="M221">
        <v>0</v>
      </c>
      <c r="N221" s="39">
        <v>640</v>
      </c>
      <c r="O221">
        <v>0</v>
      </c>
      <c r="P221" s="40">
        <v>30.7</v>
      </c>
    </row>
    <row r="222" ht="14.5" spans="1:16">
      <c r="A222" s="39">
        <v>400</v>
      </c>
      <c r="B222" s="39">
        <v>80</v>
      </c>
      <c r="C222" s="40">
        <v>20</v>
      </c>
      <c r="D222" s="40">
        <v>48</v>
      </c>
      <c r="E222">
        <v>137.14</v>
      </c>
      <c r="F222">
        <v>54.86</v>
      </c>
      <c r="G222" s="41">
        <v>0.4</v>
      </c>
      <c r="H222" s="39">
        <v>8</v>
      </c>
      <c r="I222" s="40">
        <v>0.4</v>
      </c>
      <c r="J222" s="45">
        <v>35</v>
      </c>
      <c r="K222" s="45">
        <v>8</v>
      </c>
      <c r="L222" s="39">
        <v>1120</v>
      </c>
      <c r="M222">
        <v>0</v>
      </c>
      <c r="N222" s="39">
        <v>640</v>
      </c>
      <c r="O222">
        <v>0</v>
      </c>
      <c r="P222" s="40">
        <v>39</v>
      </c>
    </row>
    <row r="223" ht="14.5" spans="1:16">
      <c r="A223" s="39">
        <v>400</v>
      </c>
      <c r="B223" s="39">
        <v>100</v>
      </c>
      <c r="C223" s="40">
        <v>20</v>
      </c>
      <c r="D223" s="40">
        <v>48</v>
      </c>
      <c r="E223">
        <v>142.85</v>
      </c>
      <c r="F223">
        <v>57.15</v>
      </c>
      <c r="G223" s="41">
        <v>0.4</v>
      </c>
      <c r="H223" s="39">
        <v>8</v>
      </c>
      <c r="I223" s="40">
        <v>0.4</v>
      </c>
      <c r="J223" s="45">
        <v>35</v>
      </c>
      <c r="K223" s="45">
        <v>8</v>
      </c>
      <c r="L223" s="39">
        <v>1120</v>
      </c>
      <c r="M223">
        <v>0</v>
      </c>
      <c r="N223" s="39">
        <v>640</v>
      </c>
      <c r="O223">
        <v>0</v>
      </c>
      <c r="P223" s="40">
        <v>46</v>
      </c>
    </row>
    <row r="224" ht="14.5" spans="1:16">
      <c r="A224" s="39">
        <v>400</v>
      </c>
      <c r="B224" s="39">
        <v>20</v>
      </c>
      <c r="C224" s="40">
        <v>20</v>
      </c>
      <c r="D224" s="40">
        <v>48</v>
      </c>
      <c r="E224">
        <v>120</v>
      </c>
      <c r="F224">
        <v>48</v>
      </c>
      <c r="G224" s="41">
        <v>0.4</v>
      </c>
      <c r="H224" s="39">
        <v>10</v>
      </c>
      <c r="I224" s="40">
        <v>0.4</v>
      </c>
      <c r="J224" s="45">
        <v>35</v>
      </c>
      <c r="K224" s="45">
        <v>8</v>
      </c>
      <c r="L224" s="39">
        <v>1120</v>
      </c>
      <c r="M224">
        <v>0</v>
      </c>
      <c r="N224" s="39">
        <v>640</v>
      </c>
      <c r="O224">
        <v>0</v>
      </c>
      <c r="P224" s="40">
        <v>24</v>
      </c>
    </row>
    <row r="225" ht="14.5" spans="1:16">
      <c r="A225" s="39">
        <v>400</v>
      </c>
      <c r="B225" s="39">
        <v>40</v>
      </c>
      <c r="C225" s="40">
        <v>20</v>
      </c>
      <c r="D225" s="40">
        <v>48</v>
      </c>
      <c r="E225">
        <v>125.71</v>
      </c>
      <c r="F225">
        <v>50.29</v>
      </c>
      <c r="G225" s="41">
        <v>0.4</v>
      </c>
      <c r="H225" s="39">
        <v>10</v>
      </c>
      <c r="I225" s="40">
        <v>0.4</v>
      </c>
      <c r="J225" s="45">
        <v>35</v>
      </c>
      <c r="K225" s="45">
        <v>8</v>
      </c>
      <c r="L225" s="39">
        <v>1120</v>
      </c>
      <c r="M225">
        <v>0</v>
      </c>
      <c r="N225" s="39">
        <v>640</v>
      </c>
      <c r="O225">
        <v>0</v>
      </c>
      <c r="P225" s="40">
        <v>29</v>
      </c>
    </row>
    <row r="226" ht="14.5" spans="1:16">
      <c r="A226" s="39">
        <v>400</v>
      </c>
      <c r="B226" s="39">
        <v>60</v>
      </c>
      <c r="C226" s="40">
        <v>20</v>
      </c>
      <c r="D226" s="40">
        <v>48</v>
      </c>
      <c r="E226">
        <v>131.42</v>
      </c>
      <c r="F226">
        <v>52.58</v>
      </c>
      <c r="G226" s="41">
        <v>0.4</v>
      </c>
      <c r="H226" s="39">
        <v>10</v>
      </c>
      <c r="I226" s="40">
        <v>0.4</v>
      </c>
      <c r="J226" s="45">
        <v>35</v>
      </c>
      <c r="K226" s="45">
        <v>8</v>
      </c>
      <c r="L226" s="39">
        <v>1120</v>
      </c>
      <c r="M226">
        <v>0</v>
      </c>
      <c r="N226" s="39">
        <v>640</v>
      </c>
      <c r="O226">
        <v>0</v>
      </c>
      <c r="P226" s="40">
        <v>36.5</v>
      </c>
    </row>
    <row r="227" ht="14.5" spans="1:16">
      <c r="A227" s="39">
        <v>400</v>
      </c>
      <c r="B227" s="39">
        <v>80</v>
      </c>
      <c r="C227" s="40">
        <v>20</v>
      </c>
      <c r="D227" s="40">
        <v>48</v>
      </c>
      <c r="E227">
        <v>137.14</v>
      </c>
      <c r="F227">
        <v>54.86</v>
      </c>
      <c r="G227" s="41">
        <v>0.4</v>
      </c>
      <c r="H227" s="39">
        <v>10</v>
      </c>
      <c r="I227" s="40">
        <v>0.4</v>
      </c>
      <c r="J227" s="45">
        <v>35</v>
      </c>
      <c r="K227" s="45">
        <v>8</v>
      </c>
      <c r="L227" s="39">
        <v>1120</v>
      </c>
      <c r="M227">
        <v>0</v>
      </c>
      <c r="N227" s="39">
        <v>640</v>
      </c>
      <c r="O227">
        <v>0</v>
      </c>
      <c r="P227" s="40">
        <v>41.3</v>
      </c>
    </row>
    <row r="228" ht="14.5" spans="1:16">
      <c r="A228" s="39">
        <v>400</v>
      </c>
      <c r="B228" s="39">
        <v>100</v>
      </c>
      <c r="C228" s="40">
        <v>20</v>
      </c>
      <c r="D228" s="40">
        <v>48</v>
      </c>
      <c r="E228">
        <v>142.85</v>
      </c>
      <c r="F228">
        <v>57.15</v>
      </c>
      <c r="G228" s="41">
        <v>0.4</v>
      </c>
      <c r="H228" s="39">
        <v>10</v>
      </c>
      <c r="I228" s="40">
        <v>0.4</v>
      </c>
      <c r="J228" s="45">
        <v>35</v>
      </c>
      <c r="K228" s="45">
        <v>8</v>
      </c>
      <c r="L228" s="39">
        <v>1120</v>
      </c>
      <c r="M228">
        <v>0</v>
      </c>
      <c r="N228" s="39">
        <v>640</v>
      </c>
      <c r="O228">
        <v>0</v>
      </c>
      <c r="P228" s="40">
        <v>47</v>
      </c>
    </row>
    <row r="229" ht="14.5" spans="1:16">
      <c r="A229" s="39">
        <v>400</v>
      </c>
      <c r="B229" s="39">
        <v>20</v>
      </c>
      <c r="C229" s="40">
        <v>20</v>
      </c>
      <c r="D229" s="40">
        <v>48</v>
      </c>
      <c r="E229">
        <v>120</v>
      </c>
      <c r="F229">
        <v>48</v>
      </c>
      <c r="G229" s="41">
        <v>0.4</v>
      </c>
      <c r="H229" s="39">
        <v>12</v>
      </c>
      <c r="I229" s="40">
        <v>0.4</v>
      </c>
      <c r="J229" s="45">
        <v>35</v>
      </c>
      <c r="K229" s="45">
        <v>8</v>
      </c>
      <c r="L229" s="39">
        <v>1120</v>
      </c>
      <c r="M229">
        <v>0</v>
      </c>
      <c r="N229" s="39">
        <v>640</v>
      </c>
      <c r="O229">
        <v>0</v>
      </c>
      <c r="P229" s="40">
        <v>26.5</v>
      </c>
    </row>
    <row r="230" ht="14.5" spans="1:16">
      <c r="A230" s="39">
        <v>400</v>
      </c>
      <c r="B230" s="39">
        <v>40</v>
      </c>
      <c r="C230" s="40">
        <v>20</v>
      </c>
      <c r="D230" s="40">
        <v>48</v>
      </c>
      <c r="E230">
        <v>125.71</v>
      </c>
      <c r="F230">
        <v>50.29</v>
      </c>
      <c r="G230" s="41">
        <v>0.4</v>
      </c>
      <c r="H230" s="39">
        <v>12</v>
      </c>
      <c r="I230" s="40">
        <v>0.4</v>
      </c>
      <c r="J230" s="45">
        <v>35</v>
      </c>
      <c r="K230" s="45">
        <v>8</v>
      </c>
      <c r="L230" s="39">
        <v>1120</v>
      </c>
      <c r="M230">
        <v>0</v>
      </c>
      <c r="N230" s="39">
        <v>640</v>
      </c>
      <c r="O230">
        <v>0</v>
      </c>
      <c r="P230" s="40">
        <v>33</v>
      </c>
    </row>
    <row r="231" ht="14.5" spans="1:16">
      <c r="A231" s="39">
        <v>400</v>
      </c>
      <c r="B231" s="39">
        <v>60</v>
      </c>
      <c r="C231" s="40">
        <v>20</v>
      </c>
      <c r="D231" s="40">
        <v>48</v>
      </c>
      <c r="E231">
        <v>131.42</v>
      </c>
      <c r="F231">
        <v>52.58</v>
      </c>
      <c r="G231" s="41">
        <v>0.4</v>
      </c>
      <c r="H231" s="39">
        <v>12</v>
      </c>
      <c r="I231" s="40">
        <v>0.4</v>
      </c>
      <c r="J231" s="45">
        <v>35</v>
      </c>
      <c r="K231" s="45">
        <v>8</v>
      </c>
      <c r="L231" s="39">
        <v>1120</v>
      </c>
      <c r="M231">
        <v>0</v>
      </c>
      <c r="N231" s="39">
        <v>640</v>
      </c>
      <c r="O231">
        <v>0</v>
      </c>
      <c r="P231" s="40">
        <v>38.5</v>
      </c>
    </row>
    <row r="232" ht="14.5" spans="1:16">
      <c r="A232" s="39">
        <v>400</v>
      </c>
      <c r="B232" s="39">
        <v>80</v>
      </c>
      <c r="C232" s="40">
        <v>20</v>
      </c>
      <c r="D232" s="40">
        <v>48</v>
      </c>
      <c r="E232">
        <v>137.14</v>
      </c>
      <c r="F232">
        <v>54.86</v>
      </c>
      <c r="G232" s="41">
        <v>0.4</v>
      </c>
      <c r="H232" s="39">
        <v>12</v>
      </c>
      <c r="I232" s="40">
        <v>0.4</v>
      </c>
      <c r="J232" s="45">
        <v>35</v>
      </c>
      <c r="K232" s="45">
        <v>8</v>
      </c>
      <c r="L232" s="39">
        <v>1120</v>
      </c>
      <c r="M232">
        <v>0</v>
      </c>
      <c r="N232" s="39">
        <v>640</v>
      </c>
      <c r="O232">
        <v>0</v>
      </c>
      <c r="P232" s="40">
        <v>46.4</v>
      </c>
    </row>
    <row r="233" ht="14.5" spans="1:16">
      <c r="A233" s="39">
        <v>350</v>
      </c>
      <c r="B233" s="39">
        <v>0</v>
      </c>
      <c r="C233" s="40">
        <v>23</v>
      </c>
      <c r="D233" s="40">
        <v>48</v>
      </c>
      <c r="E233">
        <v>100</v>
      </c>
      <c r="F233">
        <v>40</v>
      </c>
      <c r="G233" s="41">
        <v>0.4</v>
      </c>
      <c r="H233" s="39">
        <v>14</v>
      </c>
      <c r="I233" s="40">
        <v>0.4</v>
      </c>
      <c r="J233" s="45">
        <v>0</v>
      </c>
      <c r="K233" s="45">
        <v>0</v>
      </c>
      <c r="L233" s="39">
        <v>1081</v>
      </c>
      <c r="M233">
        <v>0</v>
      </c>
      <c r="N233" s="39">
        <v>483</v>
      </c>
      <c r="O233">
        <v>0</v>
      </c>
      <c r="P233" s="40">
        <v>23.4</v>
      </c>
    </row>
    <row r="234" ht="14.5" spans="1:16">
      <c r="A234" s="39">
        <v>350</v>
      </c>
      <c r="B234" s="39">
        <v>10</v>
      </c>
      <c r="C234" s="40">
        <v>23</v>
      </c>
      <c r="D234" s="40">
        <v>48</v>
      </c>
      <c r="E234">
        <v>102.85</v>
      </c>
      <c r="F234">
        <v>41.15</v>
      </c>
      <c r="G234" s="41">
        <v>0.4</v>
      </c>
      <c r="H234" s="39">
        <v>14</v>
      </c>
      <c r="I234" s="40">
        <v>0.4</v>
      </c>
      <c r="J234" s="45">
        <v>0</v>
      </c>
      <c r="K234" s="45">
        <v>0</v>
      </c>
      <c r="L234" s="39">
        <v>1081</v>
      </c>
      <c r="M234">
        <v>0</v>
      </c>
      <c r="N234" s="39">
        <v>483</v>
      </c>
      <c r="O234">
        <v>0</v>
      </c>
      <c r="P234" s="40">
        <v>29.52</v>
      </c>
    </row>
    <row r="235" ht="14.5" spans="1:16">
      <c r="A235" s="39">
        <v>350</v>
      </c>
      <c r="B235" s="39">
        <v>20</v>
      </c>
      <c r="C235" s="40">
        <v>23</v>
      </c>
      <c r="D235" s="40">
        <v>48</v>
      </c>
      <c r="E235">
        <v>105.71</v>
      </c>
      <c r="F235">
        <v>42.29</v>
      </c>
      <c r="G235" s="41">
        <v>0.4</v>
      </c>
      <c r="H235" s="39">
        <v>14</v>
      </c>
      <c r="I235" s="40">
        <v>0.4</v>
      </c>
      <c r="J235" s="45">
        <v>0</v>
      </c>
      <c r="K235" s="45">
        <v>0</v>
      </c>
      <c r="L235" s="39">
        <v>1081</v>
      </c>
      <c r="M235">
        <v>0</v>
      </c>
      <c r="N235" s="39">
        <v>483</v>
      </c>
      <c r="O235">
        <v>0</v>
      </c>
      <c r="P235" s="40">
        <v>32.86</v>
      </c>
    </row>
    <row r="236" ht="14.5" spans="1:16">
      <c r="A236" s="39">
        <v>350</v>
      </c>
      <c r="B236" s="39">
        <v>30</v>
      </c>
      <c r="C236" s="40">
        <v>23</v>
      </c>
      <c r="D236" s="40">
        <v>48</v>
      </c>
      <c r="E236">
        <v>108.57</v>
      </c>
      <c r="F236">
        <v>43.43</v>
      </c>
      <c r="G236" s="41">
        <v>0.4</v>
      </c>
      <c r="H236" s="39">
        <v>14</v>
      </c>
      <c r="I236" s="40">
        <v>0.4</v>
      </c>
      <c r="J236" s="45">
        <v>0</v>
      </c>
      <c r="K236" s="45">
        <v>0</v>
      </c>
      <c r="L236" s="39">
        <v>1081</v>
      </c>
      <c r="M236">
        <v>0</v>
      </c>
      <c r="N236" s="39">
        <v>483</v>
      </c>
      <c r="O236">
        <v>0</v>
      </c>
      <c r="P236" s="40">
        <v>35.73</v>
      </c>
    </row>
    <row r="237" ht="14.5" spans="1:16">
      <c r="A237" s="39">
        <v>350</v>
      </c>
      <c r="B237" s="39">
        <v>40</v>
      </c>
      <c r="C237" s="40">
        <v>23</v>
      </c>
      <c r="D237" s="40">
        <v>48</v>
      </c>
      <c r="E237">
        <v>111.42</v>
      </c>
      <c r="F237">
        <v>44.58</v>
      </c>
      <c r="G237" s="41">
        <v>0.4</v>
      </c>
      <c r="H237" s="39">
        <v>14</v>
      </c>
      <c r="I237" s="40">
        <v>0.4</v>
      </c>
      <c r="J237" s="45">
        <v>0</v>
      </c>
      <c r="K237" s="45">
        <v>0</v>
      </c>
      <c r="L237" s="39">
        <v>1081</v>
      </c>
      <c r="M237">
        <v>0</v>
      </c>
      <c r="N237" s="39">
        <v>483</v>
      </c>
      <c r="O237">
        <v>0</v>
      </c>
      <c r="P237" s="40">
        <v>36.93</v>
      </c>
    </row>
    <row r="238" ht="14.5" spans="1:16">
      <c r="A238" s="39">
        <v>350</v>
      </c>
      <c r="B238" s="39">
        <v>50</v>
      </c>
      <c r="C238" s="40">
        <v>23</v>
      </c>
      <c r="D238" s="40">
        <v>48</v>
      </c>
      <c r="E238">
        <v>114.28</v>
      </c>
      <c r="F238">
        <v>45.72</v>
      </c>
      <c r="G238" s="41">
        <v>0.4</v>
      </c>
      <c r="H238" s="39">
        <v>14</v>
      </c>
      <c r="I238" s="40">
        <v>0.4</v>
      </c>
      <c r="J238" s="45">
        <v>0</v>
      </c>
      <c r="K238" s="45">
        <v>0</v>
      </c>
      <c r="L238" s="39">
        <v>1081</v>
      </c>
      <c r="M238">
        <v>0</v>
      </c>
      <c r="N238" s="39">
        <v>483</v>
      </c>
      <c r="O238">
        <v>0</v>
      </c>
      <c r="P238" s="40">
        <v>39.23</v>
      </c>
    </row>
    <row r="239" ht="14.5" spans="1:16">
      <c r="A239" s="39">
        <v>408</v>
      </c>
      <c r="B239" s="39">
        <v>0</v>
      </c>
      <c r="C239" s="40">
        <v>60</v>
      </c>
      <c r="D239" s="40">
        <v>24</v>
      </c>
      <c r="E239">
        <v>87.42</v>
      </c>
      <c r="F239">
        <v>34.98</v>
      </c>
      <c r="G239" s="41">
        <v>0.4</v>
      </c>
      <c r="H239" s="39">
        <v>8</v>
      </c>
      <c r="I239" s="40">
        <v>0.3</v>
      </c>
      <c r="J239" s="45">
        <v>0</v>
      </c>
      <c r="K239" s="45">
        <v>16.32</v>
      </c>
      <c r="L239" s="39">
        <v>1109</v>
      </c>
      <c r="M239">
        <v>0</v>
      </c>
      <c r="N239" s="39">
        <v>643</v>
      </c>
      <c r="O239">
        <v>0</v>
      </c>
      <c r="P239" s="40">
        <v>58</v>
      </c>
    </row>
    <row r="240" ht="14.5" spans="1:16">
      <c r="A240" s="39">
        <v>408</v>
      </c>
      <c r="B240" s="39">
        <v>0</v>
      </c>
      <c r="C240" s="40">
        <v>60</v>
      </c>
      <c r="D240" s="40">
        <v>24</v>
      </c>
      <c r="E240">
        <v>102</v>
      </c>
      <c r="F240">
        <v>40.8</v>
      </c>
      <c r="G240" s="41">
        <v>0.4</v>
      </c>
      <c r="H240" s="39">
        <v>8</v>
      </c>
      <c r="I240" s="40">
        <v>0.35</v>
      </c>
      <c r="J240" s="45">
        <v>0</v>
      </c>
      <c r="K240" s="45">
        <v>16.32</v>
      </c>
      <c r="L240" s="39">
        <v>1109</v>
      </c>
      <c r="M240">
        <v>0</v>
      </c>
      <c r="N240" s="39">
        <v>643</v>
      </c>
      <c r="O240">
        <v>0</v>
      </c>
      <c r="P240" s="40">
        <v>45</v>
      </c>
    </row>
    <row r="241" ht="14.5" spans="1:16">
      <c r="A241" s="39">
        <v>408</v>
      </c>
      <c r="B241" s="39">
        <v>0</v>
      </c>
      <c r="C241" s="40">
        <v>60</v>
      </c>
      <c r="D241" s="40">
        <v>24</v>
      </c>
      <c r="E241">
        <v>116.57</v>
      </c>
      <c r="F241">
        <v>46.63</v>
      </c>
      <c r="G241" s="41">
        <v>0.4</v>
      </c>
      <c r="H241" s="39">
        <v>8</v>
      </c>
      <c r="I241" s="40">
        <v>0.4</v>
      </c>
      <c r="J241" s="45">
        <v>0</v>
      </c>
      <c r="K241" s="45">
        <v>16.32</v>
      </c>
      <c r="L241" s="39">
        <v>1109</v>
      </c>
      <c r="M241">
        <v>0</v>
      </c>
      <c r="N241" s="39">
        <v>643</v>
      </c>
      <c r="O241">
        <v>0</v>
      </c>
      <c r="P241" s="40">
        <v>37</v>
      </c>
    </row>
    <row r="242" ht="14.5" spans="1:16">
      <c r="A242" s="39">
        <v>408</v>
      </c>
      <c r="B242" s="39">
        <v>0</v>
      </c>
      <c r="C242" s="40">
        <v>60</v>
      </c>
      <c r="D242" s="40">
        <v>24</v>
      </c>
      <c r="E242">
        <v>131.14</v>
      </c>
      <c r="F242">
        <v>52.46</v>
      </c>
      <c r="G242" s="41">
        <v>0.4</v>
      </c>
      <c r="H242" s="39">
        <v>8</v>
      </c>
      <c r="I242" s="40">
        <v>0.45</v>
      </c>
      <c r="J242" s="45">
        <v>0</v>
      </c>
      <c r="K242" s="45">
        <v>16.32</v>
      </c>
      <c r="L242" s="39">
        <v>1109</v>
      </c>
      <c r="M242">
        <v>0</v>
      </c>
      <c r="N242" s="39">
        <v>643</v>
      </c>
      <c r="O242">
        <v>0</v>
      </c>
      <c r="P242" s="40">
        <v>32</v>
      </c>
    </row>
    <row r="243" ht="14.5" spans="1:16">
      <c r="A243" s="39">
        <v>408</v>
      </c>
      <c r="B243" s="39">
        <v>0</v>
      </c>
      <c r="C243" s="40">
        <v>60</v>
      </c>
      <c r="D243" s="40">
        <v>24</v>
      </c>
      <c r="E243">
        <v>107.82</v>
      </c>
      <c r="F243">
        <v>43.14</v>
      </c>
      <c r="G243" s="41">
        <v>0.4</v>
      </c>
      <c r="H243" s="39">
        <v>14</v>
      </c>
      <c r="I243" s="40">
        <v>0.37</v>
      </c>
      <c r="J243" s="45">
        <v>24.3</v>
      </c>
      <c r="K243" s="45">
        <v>5.6</v>
      </c>
      <c r="L243" s="39">
        <v>1202</v>
      </c>
      <c r="M243">
        <v>0</v>
      </c>
      <c r="N243" s="39">
        <v>647</v>
      </c>
      <c r="O243">
        <v>0</v>
      </c>
      <c r="P243" s="40">
        <v>39.5</v>
      </c>
    </row>
    <row r="244" ht="14.5" spans="1:16">
      <c r="A244" s="39">
        <v>515</v>
      </c>
      <c r="B244" s="39">
        <v>33</v>
      </c>
      <c r="C244" s="40">
        <v>25</v>
      </c>
      <c r="D244" s="40">
        <v>48</v>
      </c>
      <c r="E244">
        <v>137</v>
      </c>
      <c r="F244">
        <v>54.8</v>
      </c>
      <c r="G244" s="41">
        <v>0.4</v>
      </c>
      <c r="H244" s="39">
        <v>12</v>
      </c>
      <c r="I244" s="40">
        <v>0.35</v>
      </c>
      <c r="J244" s="45">
        <v>97.85</v>
      </c>
      <c r="K244" s="45">
        <v>7.7</v>
      </c>
      <c r="L244" s="39">
        <v>1031.3</v>
      </c>
      <c r="M244">
        <v>0</v>
      </c>
      <c r="N244" s="39">
        <v>723.8</v>
      </c>
      <c r="O244">
        <v>0</v>
      </c>
      <c r="P244" s="40">
        <v>30.26</v>
      </c>
    </row>
    <row r="245" ht="14.5" spans="1:16">
      <c r="A245" s="39">
        <v>450</v>
      </c>
      <c r="B245" s="39">
        <v>33</v>
      </c>
      <c r="C245" s="40">
        <v>25</v>
      </c>
      <c r="D245" s="40">
        <v>48</v>
      </c>
      <c r="E245">
        <v>138</v>
      </c>
      <c r="F245">
        <v>55.2</v>
      </c>
      <c r="G245" s="41">
        <v>0.4</v>
      </c>
      <c r="H245" s="39">
        <v>12</v>
      </c>
      <c r="I245" s="40">
        <v>0.4</v>
      </c>
      <c r="J245" s="45">
        <v>94.5</v>
      </c>
      <c r="K245" s="45">
        <v>6.7</v>
      </c>
      <c r="L245" s="39">
        <v>1058.2</v>
      </c>
      <c r="M245">
        <v>0</v>
      </c>
      <c r="N245" s="39">
        <v>742.7</v>
      </c>
      <c r="O245">
        <v>0</v>
      </c>
      <c r="P245" s="40">
        <v>35.38</v>
      </c>
    </row>
    <row r="246" ht="14.5" spans="1:16">
      <c r="A246" s="39">
        <v>350</v>
      </c>
      <c r="B246" s="39">
        <v>0</v>
      </c>
      <c r="C246" s="40">
        <v>65</v>
      </c>
      <c r="D246" s="40">
        <v>48</v>
      </c>
      <c r="E246">
        <v>102.5</v>
      </c>
      <c r="F246">
        <v>41</v>
      </c>
      <c r="G246" s="41">
        <v>0.4</v>
      </c>
      <c r="H246" s="39">
        <v>8</v>
      </c>
      <c r="I246" s="40">
        <v>0.41</v>
      </c>
      <c r="J246" s="45">
        <v>0</v>
      </c>
      <c r="K246" s="45">
        <v>0</v>
      </c>
      <c r="L246" s="39">
        <v>1090</v>
      </c>
      <c r="M246">
        <v>0</v>
      </c>
      <c r="N246" s="39">
        <v>647</v>
      </c>
      <c r="O246">
        <v>0</v>
      </c>
      <c r="P246" s="40">
        <v>35.3</v>
      </c>
    </row>
    <row r="247" ht="14.5" spans="1:16">
      <c r="A247" s="39">
        <v>400</v>
      </c>
      <c r="B247" s="39">
        <v>30</v>
      </c>
      <c r="C247" s="40">
        <v>25</v>
      </c>
      <c r="D247" s="40">
        <v>48</v>
      </c>
      <c r="E247">
        <v>230.35</v>
      </c>
      <c r="F247">
        <v>92.15</v>
      </c>
      <c r="G247" s="41">
        <v>0.4</v>
      </c>
      <c r="H247" s="39">
        <v>12</v>
      </c>
      <c r="I247" s="40">
        <v>0.75</v>
      </c>
      <c r="J247" s="45">
        <v>0.16</v>
      </c>
      <c r="K247" s="45">
        <v>0</v>
      </c>
      <c r="L247" s="39">
        <v>1202</v>
      </c>
      <c r="M247">
        <v>0</v>
      </c>
      <c r="N247" s="39">
        <v>647</v>
      </c>
      <c r="O247">
        <v>0</v>
      </c>
      <c r="P247" s="40">
        <v>48</v>
      </c>
    </row>
    <row r="248" ht="14.5" spans="1:16">
      <c r="A248" s="39">
        <v>408</v>
      </c>
      <c r="B248" s="39">
        <v>0</v>
      </c>
      <c r="C248" s="40">
        <v>60</v>
      </c>
      <c r="D248" s="40">
        <v>24</v>
      </c>
      <c r="E248">
        <v>102</v>
      </c>
      <c r="F248">
        <v>40.8</v>
      </c>
      <c r="G248" s="41">
        <v>0.4</v>
      </c>
      <c r="H248" s="39">
        <v>16</v>
      </c>
      <c r="I248" s="40">
        <v>0.35</v>
      </c>
      <c r="J248" s="45">
        <v>26</v>
      </c>
      <c r="K248" s="45">
        <v>6</v>
      </c>
      <c r="L248" s="39">
        <v>1202</v>
      </c>
      <c r="M248">
        <v>0</v>
      </c>
      <c r="N248" s="39">
        <v>647</v>
      </c>
      <c r="O248">
        <v>0</v>
      </c>
      <c r="P248" s="40">
        <v>42</v>
      </c>
    </row>
    <row r="249" ht="14.5" spans="1:16">
      <c r="A249" s="39">
        <v>404</v>
      </c>
      <c r="B249" s="39">
        <v>0</v>
      </c>
      <c r="C249" s="40">
        <v>60</v>
      </c>
      <c r="D249" s="40">
        <v>24</v>
      </c>
      <c r="E249">
        <v>101</v>
      </c>
      <c r="F249">
        <v>40.4</v>
      </c>
      <c r="G249" s="41">
        <v>0.4</v>
      </c>
      <c r="H249" s="39">
        <v>14</v>
      </c>
      <c r="I249" s="40">
        <v>0.35</v>
      </c>
      <c r="J249" s="45">
        <v>16.5</v>
      </c>
      <c r="K249" s="45">
        <v>6</v>
      </c>
      <c r="L249" s="39">
        <v>1190</v>
      </c>
      <c r="M249">
        <v>0</v>
      </c>
      <c r="N249" s="39">
        <v>640</v>
      </c>
      <c r="O249">
        <v>0</v>
      </c>
      <c r="P249" s="40">
        <v>60</v>
      </c>
    </row>
    <row r="250" ht="14.5" spans="1:16">
      <c r="A250" s="39">
        <v>406</v>
      </c>
      <c r="B250" s="39">
        <v>0</v>
      </c>
      <c r="C250" s="40">
        <v>60</v>
      </c>
      <c r="D250" s="40">
        <v>24</v>
      </c>
      <c r="E250">
        <v>101.5</v>
      </c>
      <c r="F250">
        <v>40.6</v>
      </c>
      <c r="G250" s="41">
        <v>0.4</v>
      </c>
      <c r="H250" s="39">
        <v>14</v>
      </c>
      <c r="I250" s="40">
        <v>0.35</v>
      </c>
      <c r="J250" s="45">
        <v>25.6</v>
      </c>
      <c r="K250" s="45">
        <v>6.1</v>
      </c>
      <c r="L250" s="39">
        <v>1194</v>
      </c>
      <c r="M250">
        <v>0</v>
      </c>
      <c r="N250" s="39">
        <v>643</v>
      </c>
      <c r="O250">
        <v>0</v>
      </c>
      <c r="P250" s="40">
        <v>35</v>
      </c>
    </row>
    <row r="251" ht="14.5" spans="1:16">
      <c r="A251" s="39">
        <v>410</v>
      </c>
      <c r="B251" s="39">
        <v>0</v>
      </c>
      <c r="C251" s="40">
        <v>60</v>
      </c>
      <c r="D251" s="40">
        <v>24</v>
      </c>
      <c r="E251">
        <v>102.5</v>
      </c>
      <c r="F251">
        <v>41</v>
      </c>
      <c r="G251" s="41">
        <v>0.4</v>
      </c>
      <c r="H251" s="39">
        <v>14</v>
      </c>
      <c r="I251" s="40">
        <v>0.35</v>
      </c>
      <c r="J251" s="45">
        <v>16.5</v>
      </c>
      <c r="K251" s="45">
        <v>6.1</v>
      </c>
      <c r="L251" s="39">
        <v>1206</v>
      </c>
      <c r="M251">
        <v>0</v>
      </c>
      <c r="N251" s="39">
        <v>650</v>
      </c>
      <c r="O251">
        <v>0</v>
      </c>
      <c r="P251" s="40">
        <v>55</v>
      </c>
    </row>
    <row r="252" ht="14.5" spans="1:16">
      <c r="A252" s="39">
        <v>400</v>
      </c>
      <c r="B252" s="39">
        <v>10</v>
      </c>
      <c r="C252" s="40">
        <v>22</v>
      </c>
      <c r="D252" s="40">
        <v>48</v>
      </c>
      <c r="E252">
        <v>117.14</v>
      </c>
      <c r="F252">
        <v>46.86</v>
      </c>
      <c r="G252" s="41">
        <v>0.4</v>
      </c>
      <c r="H252" s="39">
        <v>14</v>
      </c>
      <c r="I252" s="40">
        <v>0.4</v>
      </c>
      <c r="J252" s="45">
        <v>0</v>
      </c>
      <c r="K252" s="45">
        <v>0</v>
      </c>
      <c r="L252" s="39">
        <v>1209</v>
      </c>
      <c r="M252">
        <v>0</v>
      </c>
      <c r="N252" s="39">
        <v>651</v>
      </c>
      <c r="O252">
        <v>0</v>
      </c>
      <c r="P252" s="40">
        <v>40</v>
      </c>
    </row>
    <row r="253" ht="14.5" spans="1:16">
      <c r="A253" s="39">
        <v>400</v>
      </c>
      <c r="B253" s="39">
        <v>20</v>
      </c>
      <c r="C253" s="40">
        <v>22</v>
      </c>
      <c r="D253" s="40">
        <v>48</v>
      </c>
      <c r="E253">
        <v>120</v>
      </c>
      <c r="F253">
        <v>48</v>
      </c>
      <c r="G253" s="41">
        <v>0.4</v>
      </c>
      <c r="H253" s="39">
        <v>14</v>
      </c>
      <c r="I253" s="40">
        <v>0.4</v>
      </c>
      <c r="J253" s="45">
        <v>0</v>
      </c>
      <c r="K253" s="45">
        <v>0</v>
      </c>
      <c r="L253" s="39">
        <v>1209</v>
      </c>
      <c r="M253">
        <v>0</v>
      </c>
      <c r="N253" s="39">
        <v>651</v>
      </c>
      <c r="O253">
        <v>0</v>
      </c>
      <c r="P253" s="40">
        <v>47</v>
      </c>
    </row>
    <row r="254" ht="14.5" spans="1:16">
      <c r="A254" s="39">
        <v>400</v>
      </c>
      <c r="B254" s="39">
        <v>10</v>
      </c>
      <c r="C254" s="40">
        <v>22</v>
      </c>
      <c r="D254" s="40">
        <v>48</v>
      </c>
      <c r="E254">
        <v>98.79</v>
      </c>
      <c r="F254">
        <v>65.21</v>
      </c>
      <c r="G254" s="41">
        <v>0.66</v>
      </c>
      <c r="H254" s="39">
        <v>14</v>
      </c>
      <c r="I254" s="40">
        <v>0.4</v>
      </c>
      <c r="J254" s="45">
        <v>0</v>
      </c>
      <c r="K254" s="45">
        <v>0</v>
      </c>
      <c r="L254" s="39">
        <v>1209</v>
      </c>
      <c r="M254">
        <v>0</v>
      </c>
      <c r="N254" s="39">
        <v>651</v>
      </c>
      <c r="O254">
        <v>0</v>
      </c>
      <c r="P254" s="40">
        <v>43</v>
      </c>
    </row>
    <row r="255" ht="14.5" spans="1:16">
      <c r="A255" s="39">
        <v>400</v>
      </c>
      <c r="B255" s="39">
        <v>20</v>
      </c>
      <c r="C255" s="40">
        <v>22</v>
      </c>
      <c r="D255" s="40">
        <v>48</v>
      </c>
      <c r="E255">
        <v>101.2</v>
      </c>
      <c r="F255">
        <v>66.8</v>
      </c>
      <c r="G255" s="41">
        <v>0.66</v>
      </c>
      <c r="H255" s="39">
        <v>14</v>
      </c>
      <c r="I255" s="40">
        <v>0.4</v>
      </c>
      <c r="J255" s="45">
        <v>0</v>
      </c>
      <c r="K255" s="45">
        <v>0</v>
      </c>
      <c r="L255" s="39">
        <v>1209</v>
      </c>
      <c r="M255">
        <v>0</v>
      </c>
      <c r="N255" s="39">
        <v>651</v>
      </c>
      <c r="O255">
        <v>0</v>
      </c>
      <c r="P255" s="40">
        <v>54</v>
      </c>
    </row>
    <row r="256" ht="14.5" spans="1:16">
      <c r="A256" s="39">
        <v>408</v>
      </c>
      <c r="B256" s="39">
        <v>0</v>
      </c>
      <c r="C256" s="40">
        <v>60</v>
      </c>
      <c r="D256" s="40">
        <v>24</v>
      </c>
      <c r="E256">
        <v>102</v>
      </c>
      <c r="F256">
        <v>40.8</v>
      </c>
      <c r="G256" s="41">
        <v>0.4</v>
      </c>
      <c r="H256" s="39">
        <v>14</v>
      </c>
      <c r="I256" s="40">
        <v>0.35</v>
      </c>
      <c r="J256" s="45">
        <v>20</v>
      </c>
      <c r="K256" s="45">
        <v>0</v>
      </c>
      <c r="L256" s="39">
        <v>1201</v>
      </c>
      <c r="M256">
        <v>0</v>
      </c>
      <c r="N256" s="39">
        <v>647</v>
      </c>
      <c r="O256">
        <v>0</v>
      </c>
      <c r="P256" s="40">
        <v>39</v>
      </c>
    </row>
    <row r="257" ht="14.5" spans="1:16">
      <c r="A257" s="39">
        <v>408</v>
      </c>
      <c r="B257" s="39">
        <v>0</v>
      </c>
      <c r="C257" s="40">
        <v>80</v>
      </c>
      <c r="D257" s="40">
        <v>24</v>
      </c>
      <c r="E257">
        <v>102</v>
      </c>
      <c r="F257">
        <v>40.8</v>
      </c>
      <c r="G257" s="41">
        <v>0.4</v>
      </c>
      <c r="H257" s="39">
        <v>14</v>
      </c>
      <c r="I257" s="40">
        <v>0.35</v>
      </c>
      <c r="J257" s="45">
        <v>20</v>
      </c>
      <c r="K257" s="45">
        <v>0</v>
      </c>
      <c r="L257" s="39">
        <v>1201</v>
      </c>
      <c r="M257">
        <v>0</v>
      </c>
      <c r="N257" s="39">
        <v>647</v>
      </c>
      <c r="O257">
        <v>0</v>
      </c>
      <c r="P257" s="40">
        <v>58</v>
      </c>
    </row>
    <row r="258" ht="14.5" spans="1:16">
      <c r="A258" s="39">
        <v>400</v>
      </c>
      <c r="B258" s="39">
        <v>0</v>
      </c>
      <c r="C258" s="40">
        <v>80</v>
      </c>
      <c r="D258" s="40">
        <v>24</v>
      </c>
      <c r="E258">
        <v>70</v>
      </c>
      <c r="F258">
        <v>70</v>
      </c>
      <c r="G258" s="41">
        <v>1</v>
      </c>
      <c r="H258" s="39">
        <v>14</v>
      </c>
      <c r="I258" s="40">
        <v>0.35</v>
      </c>
      <c r="J258" s="45">
        <v>0</v>
      </c>
      <c r="K258" s="45">
        <v>0</v>
      </c>
      <c r="L258" s="39">
        <v>800</v>
      </c>
      <c r="M258">
        <v>0</v>
      </c>
      <c r="N258" s="39">
        <v>600</v>
      </c>
      <c r="O258">
        <v>0</v>
      </c>
      <c r="P258" s="40">
        <v>69.89</v>
      </c>
    </row>
    <row r="259" ht="14.5" spans="1:16">
      <c r="A259" s="39">
        <v>416</v>
      </c>
      <c r="B259" s="39">
        <v>0</v>
      </c>
      <c r="C259" s="40">
        <v>80</v>
      </c>
      <c r="D259" s="40">
        <v>24</v>
      </c>
      <c r="E259">
        <v>126.16</v>
      </c>
      <c r="F259">
        <v>27.76</v>
      </c>
      <c r="G259" s="41">
        <v>0.22</v>
      </c>
      <c r="H259" s="39">
        <v>15</v>
      </c>
      <c r="I259" s="40">
        <v>0.37</v>
      </c>
      <c r="J259" s="45">
        <v>8</v>
      </c>
      <c r="K259" s="45">
        <v>0</v>
      </c>
      <c r="L259" s="39">
        <v>1177</v>
      </c>
      <c r="M259">
        <v>0</v>
      </c>
      <c r="N259" s="39">
        <v>650</v>
      </c>
      <c r="O259">
        <v>0</v>
      </c>
      <c r="P259" s="40">
        <v>40.5</v>
      </c>
    </row>
    <row r="260" ht="14.5" spans="1:16">
      <c r="A260" s="39">
        <v>280</v>
      </c>
      <c r="B260" s="39">
        <v>0</v>
      </c>
      <c r="C260" s="40">
        <v>80</v>
      </c>
      <c r="D260" s="40">
        <v>24</v>
      </c>
      <c r="E260">
        <v>126.5</v>
      </c>
      <c r="F260">
        <v>83.5</v>
      </c>
      <c r="G260" s="41">
        <v>0.66</v>
      </c>
      <c r="H260" s="39">
        <v>12</v>
      </c>
      <c r="I260" s="40">
        <v>0.75</v>
      </c>
      <c r="J260" s="45">
        <v>0</v>
      </c>
      <c r="K260" s="45">
        <v>0</v>
      </c>
      <c r="L260" s="39">
        <v>1375</v>
      </c>
      <c r="M260">
        <v>0</v>
      </c>
      <c r="N260" s="39">
        <v>590</v>
      </c>
      <c r="O260">
        <v>0</v>
      </c>
      <c r="P260" s="40">
        <v>49.1</v>
      </c>
    </row>
    <row r="261" ht="14.5" spans="1:16">
      <c r="A261" s="39">
        <v>280</v>
      </c>
      <c r="B261" s="39">
        <v>0</v>
      </c>
      <c r="C261" s="40">
        <v>80</v>
      </c>
      <c r="D261" s="40">
        <v>24</v>
      </c>
      <c r="E261">
        <v>126.5</v>
      </c>
      <c r="F261">
        <v>83.5</v>
      </c>
      <c r="G261" s="41">
        <v>0.66</v>
      </c>
      <c r="H261" s="39">
        <v>12</v>
      </c>
      <c r="I261" s="40">
        <v>0.75</v>
      </c>
      <c r="J261" s="45">
        <v>0</v>
      </c>
      <c r="K261" s="45">
        <v>0</v>
      </c>
      <c r="L261" s="39">
        <v>1375</v>
      </c>
      <c r="M261">
        <v>0</v>
      </c>
      <c r="N261" s="39">
        <v>590</v>
      </c>
      <c r="O261">
        <v>0</v>
      </c>
      <c r="P261" s="40">
        <v>49.1</v>
      </c>
    </row>
    <row r="262" ht="14.5" spans="1:16">
      <c r="A262" s="39">
        <v>300</v>
      </c>
      <c r="B262" s="39">
        <v>0</v>
      </c>
      <c r="C262" s="40">
        <v>22</v>
      </c>
      <c r="D262" s="40">
        <v>48</v>
      </c>
      <c r="E262">
        <v>107.14</v>
      </c>
      <c r="F262">
        <v>42.86</v>
      </c>
      <c r="G262" s="41">
        <v>0.4</v>
      </c>
      <c r="H262" s="39">
        <v>8</v>
      </c>
      <c r="I262" s="40">
        <v>0.5</v>
      </c>
      <c r="J262" s="45">
        <v>0</v>
      </c>
      <c r="K262" s="45">
        <v>0.6</v>
      </c>
      <c r="L262" s="39">
        <v>1370</v>
      </c>
      <c r="M262">
        <v>0</v>
      </c>
      <c r="N262" s="39">
        <v>590</v>
      </c>
      <c r="O262">
        <v>0</v>
      </c>
      <c r="P262" s="40">
        <v>17.5</v>
      </c>
    </row>
    <row r="263" ht="14.5" spans="1:16">
      <c r="A263" s="39">
        <v>300</v>
      </c>
      <c r="B263" s="39">
        <v>0</v>
      </c>
      <c r="C263" s="40">
        <v>60</v>
      </c>
      <c r="D263" s="40">
        <v>24</v>
      </c>
      <c r="E263">
        <v>107.14</v>
      </c>
      <c r="F263">
        <v>42.86</v>
      </c>
      <c r="G263" s="41">
        <v>0.4</v>
      </c>
      <c r="H263" s="39">
        <v>8</v>
      </c>
      <c r="I263" s="40">
        <v>0.5</v>
      </c>
      <c r="J263" s="45">
        <v>0</v>
      </c>
      <c r="K263" s="45">
        <v>0.6</v>
      </c>
      <c r="L263" s="39">
        <v>1370</v>
      </c>
      <c r="M263">
        <v>0</v>
      </c>
      <c r="N263" s="39">
        <v>590</v>
      </c>
      <c r="O263">
        <v>0</v>
      </c>
      <c r="P263" s="40">
        <v>18</v>
      </c>
    </row>
    <row r="264" ht="14.5" spans="1:16">
      <c r="A264" s="39">
        <v>300</v>
      </c>
      <c r="B264" s="39">
        <v>0</v>
      </c>
      <c r="C264" s="40">
        <v>22</v>
      </c>
      <c r="D264" s="40">
        <v>48</v>
      </c>
      <c r="E264">
        <v>107.14</v>
      </c>
      <c r="F264">
        <v>42.86</v>
      </c>
      <c r="G264" s="41">
        <v>0.4</v>
      </c>
      <c r="H264" s="39">
        <v>14</v>
      </c>
      <c r="I264" s="40">
        <v>0.5</v>
      </c>
      <c r="J264" s="45">
        <v>0</v>
      </c>
      <c r="K264" s="45">
        <v>0.6</v>
      </c>
      <c r="L264" s="39">
        <v>1370</v>
      </c>
      <c r="M264">
        <v>0</v>
      </c>
      <c r="N264" s="39">
        <v>590</v>
      </c>
      <c r="O264">
        <v>0</v>
      </c>
      <c r="P264" s="40">
        <v>23</v>
      </c>
    </row>
    <row r="265" ht="14.5" spans="1:16">
      <c r="A265" s="39">
        <v>300</v>
      </c>
      <c r="B265" s="39">
        <v>0</v>
      </c>
      <c r="C265" s="40">
        <v>60</v>
      </c>
      <c r="D265" s="40">
        <v>24</v>
      </c>
      <c r="E265">
        <v>107.14</v>
      </c>
      <c r="F265">
        <v>42.86</v>
      </c>
      <c r="G265" s="41">
        <v>0.4</v>
      </c>
      <c r="H265" s="39">
        <v>14</v>
      </c>
      <c r="I265" s="40">
        <v>0.5</v>
      </c>
      <c r="J265" s="45">
        <v>0</v>
      </c>
      <c r="K265" s="45">
        <v>0.6</v>
      </c>
      <c r="L265" s="39">
        <v>1370</v>
      </c>
      <c r="M265">
        <v>0</v>
      </c>
      <c r="N265" s="39">
        <v>590</v>
      </c>
      <c r="O265">
        <v>0</v>
      </c>
      <c r="P265" s="40">
        <v>26</v>
      </c>
    </row>
    <row r="266" ht="14.5" spans="1:16">
      <c r="A266" s="39">
        <v>300</v>
      </c>
      <c r="B266" s="39">
        <v>0</v>
      </c>
      <c r="C266" s="40">
        <v>22</v>
      </c>
      <c r="D266" s="40">
        <v>48</v>
      </c>
      <c r="E266">
        <v>128.57</v>
      </c>
      <c r="F266">
        <v>51.43</v>
      </c>
      <c r="G266" s="41">
        <v>0.4</v>
      </c>
      <c r="H266" s="39">
        <v>8</v>
      </c>
      <c r="I266" s="40">
        <v>0.6</v>
      </c>
      <c r="J266" s="45">
        <v>0</v>
      </c>
      <c r="K266" s="45">
        <v>0.6</v>
      </c>
      <c r="L266" s="39">
        <v>1370</v>
      </c>
      <c r="M266">
        <v>0</v>
      </c>
      <c r="N266" s="39">
        <v>590</v>
      </c>
      <c r="O266">
        <v>0</v>
      </c>
      <c r="P266" s="40">
        <v>25</v>
      </c>
    </row>
    <row r="267" ht="14.5" spans="1:16">
      <c r="A267" s="39">
        <v>300</v>
      </c>
      <c r="B267" s="39">
        <v>0</v>
      </c>
      <c r="C267" s="40">
        <v>60</v>
      </c>
      <c r="D267" s="40">
        <v>24</v>
      </c>
      <c r="E267">
        <v>128.57</v>
      </c>
      <c r="F267">
        <v>51.43</v>
      </c>
      <c r="G267" s="41">
        <v>0.4</v>
      </c>
      <c r="H267" s="39">
        <v>8</v>
      </c>
      <c r="I267" s="40">
        <v>0.6</v>
      </c>
      <c r="J267" s="45">
        <v>0</v>
      </c>
      <c r="K267" s="45">
        <v>0.6</v>
      </c>
      <c r="L267" s="39">
        <v>1370</v>
      </c>
      <c r="M267">
        <v>0</v>
      </c>
      <c r="N267" s="39">
        <v>590</v>
      </c>
      <c r="O267">
        <v>0</v>
      </c>
      <c r="P267" s="40">
        <v>24.8</v>
      </c>
    </row>
    <row r="268" ht="14.5" spans="1:16">
      <c r="A268" s="39">
        <v>300</v>
      </c>
      <c r="B268" s="39">
        <v>0</v>
      </c>
      <c r="C268" s="40">
        <v>22</v>
      </c>
      <c r="D268" s="40">
        <v>48</v>
      </c>
      <c r="E268">
        <v>128.57</v>
      </c>
      <c r="F268">
        <v>51.43</v>
      </c>
      <c r="G268" s="41">
        <v>0.4</v>
      </c>
      <c r="H268" s="39">
        <v>14</v>
      </c>
      <c r="I268" s="40">
        <v>0.6</v>
      </c>
      <c r="J268" s="45">
        <v>0</v>
      </c>
      <c r="K268" s="45">
        <v>0.6</v>
      </c>
      <c r="L268" s="39">
        <v>1370</v>
      </c>
      <c r="M268">
        <v>0</v>
      </c>
      <c r="N268" s="39">
        <v>590</v>
      </c>
      <c r="O268">
        <v>0</v>
      </c>
      <c r="P268" s="40">
        <v>22</v>
      </c>
    </row>
    <row r="269" ht="14.5" spans="1:16">
      <c r="A269" s="39">
        <v>300</v>
      </c>
      <c r="B269" s="39">
        <v>0</v>
      </c>
      <c r="C269" s="40">
        <v>60</v>
      </c>
      <c r="D269" s="40">
        <v>24</v>
      </c>
      <c r="E269">
        <v>128.57</v>
      </c>
      <c r="F269">
        <v>51.43</v>
      </c>
      <c r="G269" s="41">
        <v>0.4</v>
      </c>
      <c r="H269" s="39">
        <v>14</v>
      </c>
      <c r="I269" s="40">
        <v>0.6</v>
      </c>
      <c r="J269" s="45">
        <v>0</v>
      </c>
      <c r="K269" s="45">
        <v>0.6</v>
      </c>
      <c r="L269" s="39">
        <v>1370</v>
      </c>
      <c r="M269">
        <v>0</v>
      </c>
      <c r="N269" s="39">
        <v>590</v>
      </c>
      <c r="O269">
        <v>0</v>
      </c>
      <c r="P269" s="40">
        <v>25.7</v>
      </c>
    </row>
    <row r="270" ht="14.5" spans="1:16">
      <c r="A270" s="39">
        <v>370</v>
      </c>
      <c r="B270" s="39">
        <v>0</v>
      </c>
      <c r="C270" s="40">
        <v>22</v>
      </c>
      <c r="D270" s="40">
        <v>48</v>
      </c>
      <c r="E270">
        <v>111</v>
      </c>
      <c r="F270">
        <v>44.4</v>
      </c>
      <c r="G270" s="41">
        <v>0.4</v>
      </c>
      <c r="H270" s="39">
        <v>16</v>
      </c>
      <c r="I270" s="40">
        <v>0.42</v>
      </c>
      <c r="J270" s="45">
        <v>31.58</v>
      </c>
      <c r="K270" s="45">
        <v>0</v>
      </c>
      <c r="L270" s="39">
        <v>1310</v>
      </c>
      <c r="M270">
        <v>0</v>
      </c>
      <c r="N270" s="39">
        <v>565</v>
      </c>
      <c r="O270">
        <v>0</v>
      </c>
      <c r="P270" s="40">
        <v>17</v>
      </c>
    </row>
    <row r="271" ht="14.5" spans="1:16">
      <c r="A271" s="39">
        <v>400</v>
      </c>
      <c r="B271" s="39">
        <v>0</v>
      </c>
      <c r="C271" s="40">
        <v>22</v>
      </c>
      <c r="D271" s="40">
        <v>48</v>
      </c>
      <c r="E271">
        <v>131.42</v>
      </c>
      <c r="F271">
        <v>52.58</v>
      </c>
      <c r="G271" s="41">
        <v>0.4</v>
      </c>
      <c r="H271" s="39">
        <v>16</v>
      </c>
      <c r="I271" s="40">
        <v>0.46</v>
      </c>
      <c r="J271" s="45">
        <v>27.07</v>
      </c>
      <c r="K271" s="45">
        <v>0</v>
      </c>
      <c r="L271" s="39">
        <v>1265</v>
      </c>
      <c r="M271">
        <v>0</v>
      </c>
      <c r="N271" s="39">
        <v>540</v>
      </c>
      <c r="O271">
        <v>0</v>
      </c>
      <c r="P271" s="40">
        <v>25</v>
      </c>
    </row>
    <row r="272" ht="14.5" spans="1:16">
      <c r="A272" s="39">
        <v>350</v>
      </c>
      <c r="B272" s="39">
        <v>0</v>
      </c>
      <c r="C272" s="40">
        <v>90</v>
      </c>
      <c r="D272" s="40">
        <v>24</v>
      </c>
      <c r="E272">
        <v>95</v>
      </c>
      <c r="F272">
        <v>38</v>
      </c>
      <c r="G272" s="41">
        <v>0.4</v>
      </c>
      <c r="H272" s="39">
        <v>16</v>
      </c>
      <c r="I272" s="40">
        <v>0.38</v>
      </c>
      <c r="J272" s="45">
        <v>36.02</v>
      </c>
      <c r="K272" s="45">
        <v>0</v>
      </c>
      <c r="L272" s="39">
        <v>1343</v>
      </c>
      <c r="M272">
        <v>0</v>
      </c>
      <c r="N272" s="39">
        <v>575</v>
      </c>
      <c r="O272">
        <v>0</v>
      </c>
      <c r="P272" s="40">
        <v>20</v>
      </c>
    </row>
    <row r="273" ht="14.5" spans="1:16">
      <c r="A273" s="39">
        <v>370</v>
      </c>
      <c r="B273" s="39">
        <v>0</v>
      </c>
      <c r="C273" s="40">
        <v>90</v>
      </c>
      <c r="D273" s="40">
        <v>24</v>
      </c>
      <c r="E273">
        <v>111</v>
      </c>
      <c r="F273">
        <v>44.4</v>
      </c>
      <c r="G273" s="41">
        <v>0.4</v>
      </c>
      <c r="H273" s="39">
        <v>16</v>
      </c>
      <c r="I273" s="40">
        <v>0.42</v>
      </c>
      <c r="J273" s="45">
        <v>31.58</v>
      </c>
      <c r="K273" s="45">
        <v>0</v>
      </c>
      <c r="L273" s="39">
        <v>1310</v>
      </c>
      <c r="M273">
        <v>0</v>
      </c>
      <c r="N273" s="39">
        <v>565</v>
      </c>
      <c r="O273">
        <v>0</v>
      </c>
      <c r="P273" s="40">
        <v>31.7</v>
      </c>
    </row>
    <row r="274" ht="14.5" spans="1:16">
      <c r="A274" s="39">
        <v>400</v>
      </c>
      <c r="B274" s="39">
        <v>0</v>
      </c>
      <c r="C274" s="40">
        <v>90</v>
      </c>
      <c r="D274" s="40">
        <v>24</v>
      </c>
      <c r="E274">
        <v>131.42</v>
      </c>
      <c r="F274">
        <v>52.58</v>
      </c>
      <c r="G274" s="41">
        <v>0.4</v>
      </c>
      <c r="H274" s="39">
        <v>16</v>
      </c>
      <c r="I274" s="40">
        <v>0.46</v>
      </c>
      <c r="J274" s="45">
        <v>27.07</v>
      </c>
      <c r="K274" s="45">
        <v>0</v>
      </c>
      <c r="L274" s="39">
        <v>1265</v>
      </c>
      <c r="M274">
        <v>0</v>
      </c>
      <c r="N274" s="39">
        <v>540</v>
      </c>
      <c r="O274">
        <v>0</v>
      </c>
      <c r="P274" s="40">
        <v>42.5</v>
      </c>
    </row>
    <row r="275" ht="14.5" spans="1:16">
      <c r="A275" s="39">
        <v>400</v>
      </c>
      <c r="B275" s="39">
        <v>0</v>
      </c>
      <c r="C275" s="40">
        <v>60</v>
      </c>
      <c r="D275" s="40">
        <v>24</v>
      </c>
      <c r="E275">
        <v>100</v>
      </c>
      <c r="F275">
        <v>40</v>
      </c>
      <c r="G275" s="41">
        <v>0.4</v>
      </c>
      <c r="H275" s="39">
        <v>8</v>
      </c>
      <c r="I275" s="40">
        <v>0.35</v>
      </c>
      <c r="J275" s="45">
        <v>0</v>
      </c>
      <c r="K275" s="45">
        <v>0</v>
      </c>
      <c r="L275" s="39">
        <v>1170</v>
      </c>
      <c r="M275">
        <v>0</v>
      </c>
      <c r="N275" s="39">
        <v>643</v>
      </c>
      <c r="O275">
        <v>0</v>
      </c>
      <c r="P275" s="40">
        <v>61</v>
      </c>
    </row>
    <row r="276" ht="14.5" spans="1:16">
      <c r="A276" s="39">
        <v>368</v>
      </c>
      <c r="B276" s="39">
        <v>0</v>
      </c>
      <c r="C276" s="40">
        <v>80</v>
      </c>
      <c r="D276" s="40">
        <v>24</v>
      </c>
      <c r="E276">
        <v>131.42</v>
      </c>
      <c r="F276">
        <v>52.58</v>
      </c>
      <c r="G276" s="41">
        <v>0.4</v>
      </c>
      <c r="H276" s="39">
        <v>8</v>
      </c>
      <c r="I276" s="40">
        <v>0.5</v>
      </c>
      <c r="J276" s="45">
        <v>0</v>
      </c>
      <c r="K276" s="45">
        <v>0</v>
      </c>
      <c r="L276" s="39">
        <v>1294</v>
      </c>
      <c r="M276">
        <v>0</v>
      </c>
      <c r="N276" s="39">
        <v>554</v>
      </c>
      <c r="O276">
        <v>0</v>
      </c>
      <c r="P276" s="40">
        <v>85.66</v>
      </c>
    </row>
    <row r="277" ht="14.5" spans="1:16">
      <c r="A277" s="39">
        <v>408</v>
      </c>
      <c r="B277" s="39">
        <v>0</v>
      </c>
      <c r="C277" s="40">
        <v>60</v>
      </c>
      <c r="D277" s="40">
        <v>18</v>
      </c>
      <c r="E277">
        <v>102</v>
      </c>
      <c r="F277">
        <v>40.8</v>
      </c>
      <c r="G277" s="41">
        <v>0.4</v>
      </c>
      <c r="H277" s="39">
        <v>8</v>
      </c>
      <c r="I277" s="40">
        <v>0.35</v>
      </c>
      <c r="J277" s="45">
        <v>20</v>
      </c>
      <c r="K277" s="45">
        <v>0</v>
      </c>
      <c r="L277" s="39">
        <v>1243</v>
      </c>
      <c r="M277">
        <v>0</v>
      </c>
      <c r="N277" s="39">
        <v>554</v>
      </c>
      <c r="O277">
        <v>0</v>
      </c>
      <c r="P277" s="40">
        <v>33</v>
      </c>
    </row>
    <row r="278" ht="14.5" spans="1:16">
      <c r="A278" s="39">
        <v>467</v>
      </c>
      <c r="B278" s="39">
        <v>0</v>
      </c>
      <c r="C278" s="40">
        <v>60</v>
      </c>
      <c r="D278" s="40">
        <v>24</v>
      </c>
      <c r="E278">
        <v>100.07</v>
      </c>
      <c r="F278">
        <v>40.03</v>
      </c>
      <c r="G278" s="41">
        <v>0.4</v>
      </c>
      <c r="H278" s="39">
        <v>10</v>
      </c>
      <c r="I278" s="40">
        <v>0.3</v>
      </c>
      <c r="J278" s="45">
        <v>0</v>
      </c>
      <c r="K278" s="45">
        <v>0</v>
      </c>
      <c r="L278" s="39">
        <v>1346</v>
      </c>
      <c r="M278">
        <v>0</v>
      </c>
      <c r="N278" s="39">
        <v>612</v>
      </c>
      <c r="O278">
        <v>0</v>
      </c>
      <c r="P278" s="40">
        <v>24</v>
      </c>
    </row>
    <row r="279" ht="14.5" spans="1:16">
      <c r="A279" s="39">
        <v>400</v>
      </c>
      <c r="B279" s="39">
        <v>0</v>
      </c>
      <c r="C279" s="40">
        <v>27</v>
      </c>
      <c r="D279" s="40">
        <v>48</v>
      </c>
      <c r="E279">
        <v>100</v>
      </c>
      <c r="F279">
        <v>40</v>
      </c>
      <c r="G279" s="41">
        <v>0.4</v>
      </c>
      <c r="H279" s="39">
        <v>10</v>
      </c>
      <c r="I279" s="40">
        <v>0.35</v>
      </c>
      <c r="J279" s="45">
        <v>0</v>
      </c>
      <c r="K279" s="45">
        <v>0</v>
      </c>
      <c r="L279" s="39">
        <v>1346</v>
      </c>
      <c r="M279">
        <v>0</v>
      </c>
      <c r="N279" s="39">
        <v>612</v>
      </c>
      <c r="O279">
        <v>0</v>
      </c>
      <c r="P279" s="40">
        <v>15.5</v>
      </c>
    </row>
    <row r="280" ht="14.5" spans="1:16">
      <c r="A280" s="39">
        <v>400</v>
      </c>
      <c r="B280" s="39">
        <v>0</v>
      </c>
      <c r="C280" s="40">
        <v>90</v>
      </c>
      <c r="D280" s="40">
        <v>24</v>
      </c>
      <c r="E280">
        <v>100</v>
      </c>
      <c r="F280">
        <v>40</v>
      </c>
      <c r="G280" s="41">
        <v>0.4</v>
      </c>
      <c r="H280" s="39">
        <v>10</v>
      </c>
      <c r="I280" s="40">
        <v>0.35</v>
      </c>
      <c r="J280" s="45">
        <v>0</v>
      </c>
      <c r="K280" s="45">
        <v>0</v>
      </c>
      <c r="L280" s="39">
        <v>1346</v>
      </c>
      <c r="M280">
        <v>0</v>
      </c>
      <c r="N280" s="39">
        <v>612</v>
      </c>
      <c r="O280">
        <v>0</v>
      </c>
      <c r="P280" s="40">
        <v>26</v>
      </c>
    </row>
    <row r="281" ht="14.5" spans="1:16">
      <c r="A281" s="39">
        <v>350</v>
      </c>
      <c r="B281" s="39">
        <v>0</v>
      </c>
      <c r="C281" s="40">
        <v>60</v>
      </c>
      <c r="D281" s="40">
        <v>24</v>
      </c>
      <c r="E281">
        <v>100</v>
      </c>
      <c r="F281">
        <v>40</v>
      </c>
      <c r="G281" s="41">
        <v>0.4</v>
      </c>
      <c r="H281" s="39">
        <v>10</v>
      </c>
      <c r="I281" s="40">
        <v>0.4</v>
      </c>
      <c r="J281" s="45">
        <v>0</v>
      </c>
      <c r="K281" s="45">
        <v>0</v>
      </c>
      <c r="L281" s="39">
        <v>1346</v>
      </c>
      <c r="M281">
        <v>0</v>
      </c>
      <c r="N281" s="39">
        <v>612</v>
      </c>
      <c r="O281">
        <v>0</v>
      </c>
      <c r="P281" s="40">
        <v>25</v>
      </c>
    </row>
    <row r="282" ht="14.5" spans="1:16">
      <c r="A282" s="39">
        <v>412</v>
      </c>
      <c r="B282" s="39">
        <v>0</v>
      </c>
      <c r="C282" s="40">
        <v>90</v>
      </c>
      <c r="D282" s="40">
        <v>24</v>
      </c>
      <c r="E282">
        <v>117.71</v>
      </c>
      <c r="F282">
        <v>47.09</v>
      </c>
      <c r="G282" s="41">
        <v>0.4</v>
      </c>
      <c r="H282" s="39">
        <v>14</v>
      </c>
      <c r="I282" s="40">
        <v>0.4</v>
      </c>
      <c r="J282" s="45">
        <v>41.2</v>
      </c>
      <c r="K282" s="45">
        <v>4</v>
      </c>
      <c r="L282" s="39">
        <v>1185</v>
      </c>
      <c r="M282">
        <v>0</v>
      </c>
      <c r="N282" s="39">
        <v>639</v>
      </c>
      <c r="O282">
        <v>0</v>
      </c>
      <c r="P282" s="40">
        <v>52.25</v>
      </c>
    </row>
    <row r="283" ht="14.5" spans="1:16">
      <c r="A283" s="39">
        <v>380</v>
      </c>
      <c r="B283" s="39">
        <v>0</v>
      </c>
      <c r="C283" s="40">
        <v>25</v>
      </c>
      <c r="D283" s="40">
        <v>48</v>
      </c>
      <c r="E283">
        <v>122.14</v>
      </c>
      <c r="F283">
        <v>48.86</v>
      </c>
      <c r="G283" s="41">
        <v>0.4</v>
      </c>
      <c r="H283" s="39">
        <v>8</v>
      </c>
      <c r="I283" s="40">
        <v>0.45</v>
      </c>
      <c r="J283" s="45">
        <v>0</v>
      </c>
      <c r="K283" s="45">
        <v>3.8</v>
      </c>
      <c r="L283" s="39">
        <v>1209</v>
      </c>
      <c r="M283">
        <v>0</v>
      </c>
      <c r="N283" s="39">
        <v>660</v>
      </c>
      <c r="O283">
        <v>0</v>
      </c>
      <c r="P283" s="40">
        <v>29.67</v>
      </c>
    </row>
    <row r="284" ht="14.5" spans="1:16">
      <c r="A284" s="39">
        <v>380</v>
      </c>
      <c r="B284" s="39">
        <v>10</v>
      </c>
      <c r="C284" s="40">
        <v>25</v>
      </c>
      <c r="D284" s="40">
        <v>48</v>
      </c>
      <c r="E284">
        <v>125.35</v>
      </c>
      <c r="F284">
        <v>50.15</v>
      </c>
      <c r="G284" s="41">
        <v>0.4</v>
      </c>
      <c r="H284" s="39">
        <v>8</v>
      </c>
      <c r="I284" s="40">
        <v>0.45</v>
      </c>
      <c r="J284" s="45">
        <v>0</v>
      </c>
      <c r="K284" s="45">
        <v>3.8</v>
      </c>
      <c r="L284" s="39">
        <v>1209</v>
      </c>
      <c r="M284">
        <v>0</v>
      </c>
      <c r="N284" s="39">
        <v>660</v>
      </c>
      <c r="O284">
        <v>0</v>
      </c>
      <c r="P284" s="40">
        <v>35.06</v>
      </c>
    </row>
    <row r="285" ht="14.5" spans="1:16">
      <c r="A285" s="39">
        <v>380</v>
      </c>
      <c r="B285" s="39">
        <v>20</v>
      </c>
      <c r="C285" s="40">
        <v>25</v>
      </c>
      <c r="D285" s="40">
        <v>48</v>
      </c>
      <c r="E285">
        <v>128.57</v>
      </c>
      <c r="F285">
        <v>51.43</v>
      </c>
      <c r="G285" s="41">
        <v>0.4</v>
      </c>
      <c r="H285" s="39">
        <v>8</v>
      </c>
      <c r="I285" s="40">
        <v>0.45</v>
      </c>
      <c r="J285" s="45">
        <v>0</v>
      </c>
      <c r="K285" s="45">
        <v>3.8</v>
      </c>
      <c r="L285" s="39">
        <v>1209</v>
      </c>
      <c r="M285">
        <v>0</v>
      </c>
      <c r="N285" s="39">
        <v>660</v>
      </c>
      <c r="O285">
        <v>0</v>
      </c>
      <c r="P285" s="40">
        <v>39.37</v>
      </c>
    </row>
    <row r="286" ht="14.5" spans="1:16">
      <c r="A286" s="39">
        <v>380</v>
      </c>
      <c r="B286" s="39">
        <v>30</v>
      </c>
      <c r="C286" s="40">
        <v>25</v>
      </c>
      <c r="D286" s="40">
        <v>48</v>
      </c>
      <c r="E286">
        <v>131.78</v>
      </c>
      <c r="F286">
        <v>52.72</v>
      </c>
      <c r="G286" s="41">
        <v>0.4</v>
      </c>
      <c r="H286" s="39">
        <v>8</v>
      </c>
      <c r="I286" s="40">
        <v>0.45</v>
      </c>
      <c r="J286" s="45">
        <v>0</v>
      </c>
      <c r="K286" s="45">
        <v>3.8</v>
      </c>
      <c r="L286" s="39">
        <v>1209</v>
      </c>
      <c r="M286">
        <v>0</v>
      </c>
      <c r="N286" s="39">
        <v>660</v>
      </c>
      <c r="O286">
        <v>0</v>
      </c>
      <c r="P286" s="40">
        <v>42.62</v>
      </c>
    </row>
    <row r="287" ht="14.5" spans="1:16">
      <c r="A287" s="39">
        <v>392</v>
      </c>
      <c r="B287" s="39">
        <v>100</v>
      </c>
      <c r="C287" s="40">
        <v>25</v>
      </c>
      <c r="D287" s="40">
        <v>48</v>
      </c>
      <c r="E287">
        <v>123</v>
      </c>
      <c r="F287">
        <v>49.2</v>
      </c>
      <c r="G287" s="41">
        <v>0.4</v>
      </c>
      <c r="H287" s="39">
        <v>10</v>
      </c>
      <c r="I287" s="40">
        <v>0.35</v>
      </c>
      <c r="J287" s="45">
        <v>0</v>
      </c>
      <c r="K287" s="45">
        <v>0</v>
      </c>
      <c r="L287" s="39">
        <v>1202</v>
      </c>
      <c r="M287">
        <v>0</v>
      </c>
      <c r="N287" s="39">
        <v>647</v>
      </c>
      <c r="O287">
        <v>0</v>
      </c>
      <c r="P287" s="40">
        <v>36</v>
      </c>
    </row>
    <row r="288" ht="14.5" spans="1:16">
      <c r="A288" s="39">
        <v>392</v>
      </c>
      <c r="B288" s="39">
        <v>20</v>
      </c>
      <c r="C288" s="40">
        <v>75</v>
      </c>
      <c r="D288" s="40">
        <v>24</v>
      </c>
      <c r="E288">
        <v>103</v>
      </c>
      <c r="F288">
        <v>41.2</v>
      </c>
      <c r="G288" s="41">
        <v>0.4</v>
      </c>
      <c r="H288" s="39">
        <v>10</v>
      </c>
      <c r="I288" s="40">
        <v>0.35</v>
      </c>
      <c r="J288" s="45">
        <v>0</v>
      </c>
      <c r="K288" s="45">
        <v>0</v>
      </c>
      <c r="L288" s="39">
        <v>1202</v>
      </c>
      <c r="M288">
        <v>0</v>
      </c>
      <c r="N288" s="39">
        <v>647</v>
      </c>
      <c r="O288">
        <v>0</v>
      </c>
      <c r="P288" s="40">
        <v>32</v>
      </c>
    </row>
    <row r="289" ht="14.5" spans="1:16">
      <c r="A289" s="39">
        <v>392</v>
      </c>
      <c r="B289" s="39">
        <v>20</v>
      </c>
      <c r="C289" s="40">
        <v>25</v>
      </c>
      <c r="D289" s="40">
        <v>48</v>
      </c>
      <c r="E289">
        <v>103</v>
      </c>
      <c r="F289">
        <v>41.2</v>
      </c>
      <c r="G289" s="41">
        <v>0.4</v>
      </c>
      <c r="H289" s="39">
        <v>10</v>
      </c>
      <c r="I289" s="40">
        <v>0.35</v>
      </c>
      <c r="J289" s="45">
        <v>0</v>
      </c>
      <c r="K289" s="45">
        <v>0</v>
      </c>
      <c r="L289" s="39">
        <v>1202</v>
      </c>
      <c r="M289">
        <v>0</v>
      </c>
      <c r="N289" s="39">
        <v>647</v>
      </c>
      <c r="O289">
        <v>0</v>
      </c>
      <c r="P289" s="40">
        <v>19</v>
      </c>
    </row>
    <row r="290" ht="14.5" spans="1:16">
      <c r="A290" s="39">
        <v>392</v>
      </c>
      <c r="B290" s="39">
        <v>20</v>
      </c>
      <c r="C290" s="40">
        <v>75</v>
      </c>
      <c r="D290" s="40">
        <v>24</v>
      </c>
      <c r="E290">
        <v>103</v>
      </c>
      <c r="F290">
        <v>41.2</v>
      </c>
      <c r="G290" s="41">
        <v>0.4</v>
      </c>
      <c r="H290" s="39">
        <v>10</v>
      </c>
      <c r="I290" s="40">
        <v>0.35</v>
      </c>
      <c r="J290" s="45">
        <v>0</v>
      </c>
      <c r="K290" s="45">
        <v>0</v>
      </c>
      <c r="L290" s="39">
        <v>1202</v>
      </c>
      <c r="M290">
        <v>0</v>
      </c>
      <c r="N290" s="39">
        <v>647</v>
      </c>
      <c r="O290">
        <v>0</v>
      </c>
      <c r="P290" s="40">
        <v>33</v>
      </c>
    </row>
    <row r="291" ht="14.5" spans="1:16">
      <c r="A291" s="39">
        <v>400</v>
      </c>
      <c r="B291" s="39">
        <v>100</v>
      </c>
      <c r="C291" s="40">
        <v>25</v>
      </c>
      <c r="D291" s="40">
        <v>48</v>
      </c>
      <c r="E291">
        <v>178.57</v>
      </c>
      <c r="F291">
        <v>71.43</v>
      </c>
      <c r="G291" s="41">
        <v>0.4</v>
      </c>
      <c r="H291" s="39">
        <v>12</v>
      </c>
      <c r="I291" s="40">
        <v>0.5</v>
      </c>
      <c r="J291" s="45">
        <v>56</v>
      </c>
      <c r="K291" s="45">
        <v>8</v>
      </c>
      <c r="L291" s="39">
        <v>990</v>
      </c>
      <c r="M291">
        <v>0</v>
      </c>
      <c r="N291" s="39">
        <v>810</v>
      </c>
      <c r="O291">
        <v>0</v>
      </c>
      <c r="P291" s="40">
        <v>89.6</v>
      </c>
    </row>
    <row r="292" ht="14.5" spans="1:16">
      <c r="A292" s="39">
        <v>400</v>
      </c>
      <c r="B292" s="39">
        <v>100</v>
      </c>
      <c r="C292" s="40">
        <v>25</v>
      </c>
      <c r="D292" s="40">
        <v>48</v>
      </c>
      <c r="E292">
        <v>178.57</v>
      </c>
      <c r="F292">
        <v>71.43</v>
      </c>
      <c r="G292" s="41">
        <v>0.4</v>
      </c>
      <c r="H292" s="39">
        <v>12</v>
      </c>
      <c r="I292" s="40">
        <v>0.5</v>
      </c>
      <c r="J292" s="45">
        <v>56</v>
      </c>
      <c r="K292" s="45">
        <v>12</v>
      </c>
      <c r="L292" s="39">
        <v>990</v>
      </c>
      <c r="M292">
        <v>0</v>
      </c>
      <c r="N292" s="39">
        <v>810</v>
      </c>
      <c r="O292">
        <v>0</v>
      </c>
      <c r="P292" s="40">
        <v>89.2</v>
      </c>
    </row>
    <row r="293" ht="14.5" spans="1:16">
      <c r="A293" s="39">
        <v>400</v>
      </c>
      <c r="B293" s="39">
        <v>100</v>
      </c>
      <c r="C293" s="40">
        <v>25</v>
      </c>
      <c r="D293" s="40">
        <v>48</v>
      </c>
      <c r="E293">
        <v>178.57</v>
      </c>
      <c r="F293">
        <v>71.43</v>
      </c>
      <c r="G293" s="41">
        <v>0.4</v>
      </c>
      <c r="H293" s="39">
        <v>12</v>
      </c>
      <c r="I293" s="40">
        <v>0.5</v>
      </c>
      <c r="J293" s="45">
        <v>56</v>
      </c>
      <c r="K293" s="45">
        <v>16</v>
      </c>
      <c r="L293" s="39">
        <v>990</v>
      </c>
      <c r="M293">
        <v>0</v>
      </c>
      <c r="N293" s="39">
        <v>810</v>
      </c>
      <c r="O293">
        <v>0</v>
      </c>
      <c r="P293" s="40">
        <v>88.7</v>
      </c>
    </row>
    <row r="294" ht="14.5" spans="1:16">
      <c r="A294" s="39">
        <v>400</v>
      </c>
      <c r="B294" s="39">
        <v>100</v>
      </c>
      <c r="C294" s="40">
        <v>25</v>
      </c>
      <c r="D294" s="40">
        <v>48</v>
      </c>
      <c r="E294">
        <v>178.57</v>
      </c>
      <c r="F294">
        <v>71.43</v>
      </c>
      <c r="G294" s="41">
        <v>0.4</v>
      </c>
      <c r="H294" s="39">
        <v>12</v>
      </c>
      <c r="I294" s="40">
        <v>0.5</v>
      </c>
      <c r="J294" s="45">
        <v>56</v>
      </c>
      <c r="K294" s="45">
        <v>20</v>
      </c>
      <c r="L294" s="39">
        <v>990</v>
      </c>
      <c r="M294">
        <v>0</v>
      </c>
      <c r="N294" s="39">
        <v>810</v>
      </c>
      <c r="O294">
        <v>0</v>
      </c>
      <c r="P294" s="40">
        <v>86.11</v>
      </c>
    </row>
    <row r="295" ht="14.5" spans="1:16">
      <c r="A295" s="39">
        <v>400</v>
      </c>
      <c r="B295" s="39">
        <v>100</v>
      </c>
      <c r="C295" s="40">
        <v>25</v>
      </c>
      <c r="D295" s="40">
        <v>48</v>
      </c>
      <c r="E295">
        <v>178.57</v>
      </c>
      <c r="F295">
        <v>71.43</v>
      </c>
      <c r="G295" s="41">
        <v>0.4</v>
      </c>
      <c r="H295" s="39">
        <v>12</v>
      </c>
      <c r="I295" s="40">
        <v>0.5</v>
      </c>
      <c r="J295" s="45">
        <v>56</v>
      </c>
      <c r="K295" s="45">
        <v>24</v>
      </c>
      <c r="L295" s="39">
        <v>990</v>
      </c>
      <c r="M295">
        <v>0</v>
      </c>
      <c r="N295" s="39">
        <v>810</v>
      </c>
      <c r="O295">
        <v>0</v>
      </c>
      <c r="P295" s="40">
        <v>84.1</v>
      </c>
    </row>
    <row r="296" ht="14.5" spans="1:16">
      <c r="A296" s="39">
        <v>394</v>
      </c>
      <c r="B296" s="39">
        <v>100</v>
      </c>
      <c r="C296" s="40">
        <v>80</v>
      </c>
      <c r="D296" s="40">
        <v>24</v>
      </c>
      <c r="E296">
        <v>96.6900000000001</v>
      </c>
      <c r="F296">
        <v>175.01</v>
      </c>
      <c r="G296" s="41">
        <v>1.81</v>
      </c>
      <c r="H296" s="39">
        <v>10</v>
      </c>
      <c r="I296" s="40">
        <v>0.55</v>
      </c>
      <c r="J296" s="45">
        <v>59</v>
      </c>
      <c r="K296" s="45">
        <v>8</v>
      </c>
      <c r="L296" s="39">
        <v>1201</v>
      </c>
      <c r="M296">
        <v>0</v>
      </c>
      <c r="N296" s="39">
        <v>647</v>
      </c>
      <c r="O296">
        <v>0</v>
      </c>
      <c r="P296" s="40">
        <v>60</v>
      </c>
    </row>
    <row r="297" ht="14.5" spans="1:16">
      <c r="A297" s="39">
        <v>400</v>
      </c>
      <c r="B297" s="39">
        <v>15</v>
      </c>
      <c r="C297" s="40">
        <v>75</v>
      </c>
      <c r="D297" s="40">
        <v>18</v>
      </c>
      <c r="E297">
        <v>133.39</v>
      </c>
      <c r="F297">
        <v>53.36</v>
      </c>
      <c r="G297" s="41">
        <v>0.4</v>
      </c>
      <c r="H297" s="39">
        <v>12</v>
      </c>
      <c r="I297" s="40">
        <v>0.45</v>
      </c>
      <c r="J297" s="45">
        <v>38.6</v>
      </c>
      <c r="K297" s="45">
        <v>0</v>
      </c>
      <c r="L297" s="39">
        <v>963</v>
      </c>
      <c r="M297">
        <v>0</v>
      </c>
      <c r="N297" s="39">
        <v>795</v>
      </c>
      <c r="O297">
        <v>0</v>
      </c>
      <c r="P297" s="40">
        <v>50.4</v>
      </c>
    </row>
    <row r="298" ht="14.5" spans="1:16">
      <c r="A298" s="39">
        <v>450</v>
      </c>
      <c r="B298" s="39">
        <v>50</v>
      </c>
      <c r="C298" s="40">
        <v>70</v>
      </c>
      <c r="D298" s="40">
        <v>48</v>
      </c>
      <c r="E298">
        <v>178.57</v>
      </c>
      <c r="F298">
        <v>71.43</v>
      </c>
      <c r="G298" s="41">
        <v>0.4</v>
      </c>
      <c r="H298" s="39">
        <v>12</v>
      </c>
      <c r="I298" s="40">
        <v>0.5</v>
      </c>
      <c r="J298" s="45">
        <v>36</v>
      </c>
      <c r="K298" s="45">
        <v>22.5</v>
      </c>
      <c r="L298" s="39">
        <v>742.88</v>
      </c>
      <c r="M298">
        <v>0</v>
      </c>
      <c r="N298" s="39">
        <v>865.61</v>
      </c>
      <c r="O298">
        <v>0</v>
      </c>
      <c r="P298" s="40">
        <v>60.7</v>
      </c>
    </row>
    <row r="299" ht="14.5" spans="1:16">
      <c r="A299" s="39">
        <v>400</v>
      </c>
      <c r="B299" s="39">
        <v>20</v>
      </c>
      <c r="C299" s="40">
        <v>23</v>
      </c>
      <c r="D299" s="40">
        <v>48</v>
      </c>
      <c r="E299">
        <v>165</v>
      </c>
      <c r="F299">
        <v>66</v>
      </c>
      <c r="G299" s="41">
        <v>0.4</v>
      </c>
      <c r="H299" s="39">
        <v>12</v>
      </c>
      <c r="I299" s="40">
        <v>0.55</v>
      </c>
      <c r="J299" s="45">
        <v>0</v>
      </c>
      <c r="K299" s="45">
        <v>0</v>
      </c>
      <c r="L299" s="39">
        <v>1000</v>
      </c>
      <c r="M299">
        <v>0</v>
      </c>
      <c r="N299" s="39">
        <v>680</v>
      </c>
      <c r="O299">
        <v>0</v>
      </c>
      <c r="P299" s="40">
        <v>41.5</v>
      </c>
    </row>
    <row r="300" ht="14.5" spans="1:16">
      <c r="A300" s="39">
        <v>400</v>
      </c>
      <c r="B300" s="39">
        <v>50</v>
      </c>
      <c r="C300" s="40">
        <v>23</v>
      </c>
      <c r="D300" s="40">
        <v>48</v>
      </c>
      <c r="E300">
        <v>241.07</v>
      </c>
      <c r="F300">
        <v>96.43</v>
      </c>
      <c r="G300" s="41">
        <v>0.4</v>
      </c>
      <c r="H300" s="39">
        <v>12</v>
      </c>
      <c r="I300" s="40">
        <v>0.75</v>
      </c>
      <c r="J300" s="45">
        <v>0</v>
      </c>
      <c r="K300" s="45">
        <v>0</v>
      </c>
      <c r="L300" s="39">
        <v>1000</v>
      </c>
      <c r="M300">
        <v>0</v>
      </c>
      <c r="N300" s="39">
        <v>680</v>
      </c>
      <c r="O300">
        <v>0</v>
      </c>
      <c r="P300" s="40">
        <v>44.5</v>
      </c>
    </row>
    <row r="301" ht="14.5" spans="1:16">
      <c r="A301" s="39">
        <v>500</v>
      </c>
      <c r="B301" s="39">
        <v>30</v>
      </c>
      <c r="C301" s="40">
        <v>25</v>
      </c>
      <c r="D301" s="40">
        <v>48</v>
      </c>
      <c r="E301">
        <v>126.94</v>
      </c>
      <c r="F301">
        <v>85.06</v>
      </c>
      <c r="G301" s="41">
        <v>0.67</v>
      </c>
      <c r="H301" s="39">
        <v>14</v>
      </c>
      <c r="I301" s="40">
        <v>0.4</v>
      </c>
      <c r="J301" s="45">
        <v>0</v>
      </c>
      <c r="K301" s="45">
        <v>7.5</v>
      </c>
      <c r="L301" s="39">
        <v>1007</v>
      </c>
      <c r="M301">
        <v>0</v>
      </c>
      <c r="N301" s="39">
        <v>628</v>
      </c>
      <c r="O301">
        <v>0</v>
      </c>
      <c r="P301" s="40">
        <v>66.23</v>
      </c>
    </row>
    <row r="302" ht="14.5" spans="1:16">
      <c r="A302" s="39">
        <v>400</v>
      </c>
      <c r="B302" s="39">
        <v>30</v>
      </c>
      <c r="C302" s="40">
        <v>25</v>
      </c>
      <c r="D302" s="40">
        <v>48</v>
      </c>
      <c r="E302">
        <v>128.74</v>
      </c>
      <c r="F302">
        <v>86.26</v>
      </c>
      <c r="G302" s="41">
        <v>0.67</v>
      </c>
      <c r="H302" s="39">
        <v>14</v>
      </c>
      <c r="I302" s="40">
        <v>0.5</v>
      </c>
      <c r="J302" s="45">
        <v>0</v>
      </c>
      <c r="K302" s="45">
        <v>4.8</v>
      </c>
      <c r="L302" s="39">
        <v>1091</v>
      </c>
      <c r="M302">
        <v>0</v>
      </c>
      <c r="N302" s="39">
        <v>680</v>
      </c>
      <c r="O302">
        <v>0</v>
      </c>
      <c r="P302" s="40">
        <v>58.4</v>
      </c>
    </row>
    <row r="303" ht="14.5" spans="1:16">
      <c r="A303" s="39">
        <v>333</v>
      </c>
      <c r="B303" s="39">
        <v>30</v>
      </c>
      <c r="C303" s="40">
        <v>25</v>
      </c>
      <c r="D303" s="40">
        <v>48</v>
      </c>
      <c r="E303">
        <v>130.41</v>
      </c>
      <c r="F303">
        <v>87.39</v>
      </c>
      <c r="G303" s="41">
        <v>0.67</v>
      </c>
      <c r="H303" s="39">
        <v>14</v>
      </c>
      <c r="I303" s="40">
        <v>0.6</v>
      </c>
      <c r="J303" s="45">
        <v>0</v>
      </c>
      <c r="K303" s="45">
        <v>2.5</v>
      </c>
      <c r="L303" s="39">
        <v>1129</v>
      </c>
      <c r="M303">
        <v>0</v>
      </c>
      <c r="N303" s="39">
        <v>704</v>
      </c>
      <c r="O303">
        <v>0</v>
      </c>
      <c r="P303" s="40">
        <v>51.66</v>
      </c>
    </row>
    <row r="304" ht="14.5" spans="1:16">
      <c r="A304" s="39">
        <v>286</v>
      </c>
      <c r="B304" s="39">
        <v>30</v>
      </c>
      <c r="C304" s="40">
        <v>25</v>
      </c>
      <c r="D304" s="40">
        <v>48</v>
      </c>
      <c r="E304">
        <v>132.45</v>
      </c>
      <c r="F304">
        <v>88.75</v>
      </c>
      <c r="G304" s="41">
        <v>0.67</v>
      </c>
      <c r="H304" s="39">
        <v>14</v>
      </c>
      <c r="I304" s="40">
        <v>0.7</v>
      </c>
      <c r="J304" s="45">
        <v>0</v>
      </c>
      <c r="K304" s="45">
        <v>0</v>
      </c>
      <c r="L304" s="39">
        <v>1163</v>
      </c>
      <c r="M304">
        <v>0</v>
      </c>
      <c r="N304" s="39">
        <v>726</v>
      </c>
      <c r="O304">
        <v>0</v>
      </c>
      <c r="P304" s="40">
        <v>41.65</v>
      </c>
    </row>
    <row r="305" ht="14.5" spans="1:16">
      <c r="A305" s="39">
        <v>250</v>
      </c>
      <c r="B305" s="39">
        <v>30</v>
      </c>
      <c r="C305" s="40">
        <v>25</v>
      </c>
      <c r="D305" s="40">
        <v>48</v>
      </c>
      <c r="E305">
        <v>134.13</v>
      </c>
      <c r="F305">
        <v>89.87</v>
      </c>
      <c r="G305" s="41">
        <v>0.67</v>
      </c>
      <c r="H305" s="39">
        <v>14</v>
      </c>
      <c r="I305" s="40">
        <v>0.8</v>
      </c>
      <c r="J305" s="45">
        <v>0</v>
      </c>
      <c r="K305" s="45">
        <v>0</v>
      </c>
      <c r="L305" s="39">
        <v>1190</v>
      </c>
      <c r="M305">
        <v>0</v>
      </c>
      <c r="N305" s="39">
        <v>742</v>
      </c>
      <c r="O305">
        <v>0</v>
      </c>
      <c r="P305" s="40">
        <v>34.82</v>
      </c>
    </row>
    <row r="306" ht="14.5" spans="1:16">
      <c r="A306" s="39">
        <v>413</v>
      </c>
      <c r="B306" s="39">
        <v>0</v>
      </c>
      <c r="C306" s="40">
        <v>80</v>
      </c>
      <c r="D306" s="40">
        <v>8</v>
      </c>
      <c r="E306">
        <v>103.25</v>
      </c>
      <c r="F306">
        <v>41.3</v>
      </c>
      <c r="G306" s="41">
        <v>0.4</v>
      </c>
      <c r="H306" s="39">
        <v>12</v>
      </c>
      <c r="I306" s="40">
        <v>0.35</v>
      </c>
      <c r="J306" s="45">
        <v>0</v>
      </c>
      <c r="K306" s="45">
        <v>0</v>
      </c>
      <c r="L306" s="39">
        <v>1276</v>
      </c>
      <c r="M306">
        <v>0</v>
      </c>
      <c r="N306" s="39">
        <v>567</v>
      </c>
      <c r="O306">
        <v>0</v>
      </c>
      <c r="P306" s="40">
        <v>34</v>
      </c>
    </row>
    <row r="307" ht="14.5" spans="1:16">
      <c r="A307" s="39">
        <v>413</v>
      </c>
      <c r="B307" s="39">
        <v>0</v>
      </c>
      <c r="C307" s="40">
        <v>80</v>
      </c>
      <c r="D307" s="40">
        <v>8</v>
      </c>
      <c r="E307">
        <v>118</v>
      </c>
      <c r="F307">
        <v>47.2</v>
      </c>
      <c r="G307" s="41">
        <v>0.4</v>
      </c>
      <c r="H307" s="39">
        <v>12</v>
      </c>
      <c r="I307" s="40">
        <v>0.4</v>
      </c>
      <c r="J307" s="45">
        <v>0</v>
      </c>
      <c r="K307" s="45">
        <v>0</v>
      </c>
      <c r="L307" s="39">
        <v>1276</v>
      </c>
      <c r="M307">
        <v>0</v>
      </c>
      <c r="N307" s="39">
        <v>567</v>
      </c>
      <c r="O307">
        <v>0</v>
      </c>
      <c r="P307" s="40">
        <v>37</v>
      </c>
    </row>
    <row r="308" ht="14.5" spans="1:16">
      <c r="A308" s="39">
        <v>413</v>
      </c>
      <c r="B308" s="39">
        <v>0</v>
      </c>
      <c r="C308" s="40">
        <v>80</v>
      </c>
      <c r="D308" s="40">
        <v>8</v>
      </c>
      <c r="E308">
        <v>132.75</v>
      </c>
      <c r="F308">
        <v>53.1</v>
      </c>
      <c r="G308" s="41">
        <v>0.4</v>
      </c>
      <c r="H308" s="39">
        <v>12</v>
      </c>
      <c r="I308" s="40">
        <v>0.45</v>
      </c>
      <c r="J308" s="45">
        <v>0</v>
      </c>
      <c r="K308" s="45">
        <v>0</v>
      </c>
      <c r="L308" s="39">
        <v>1276</v>
      </c>
      <c r="M308">
        <v>0</v>
      </c>
      <c r="N308" s="39">
        <v>567</v>
      </c>
      <c r="O308">
        <v>0</v>
      </c>
      <c r="P308" s="40">
        <v>33.8</v>
      </c>
    </row>
    <row r="309" ht="14.5" spans="1:16">
      <c r="A309" s="39">
        <v>413</v>
      </c>
      <c r="B309" s="39">
        <v>0</v>
      </c>
      <c r="C309" s="40">
        <v>80</v>
      </c>
      <c r="D309" s="40">
        <v>8</v>
      </c>
      <c r="E309">
        <v>147.5</v>
      </c>
      <c r="F309">
        <v>59</v>
      </c>
      <c r="G309" s="41">
        <v>0.4</v>
      </c>
      <c r="H309" s="39">
        <v>12</v>
      </c>
      <c r="I309" s="40">
        <v>0.5</v>
      </c>
      <c r="J309" s="45">
        <v>0</v>
      </c>
      <c r="K309" s="45">
        <v>0</v>
      </c>
      <c r="L309" s="39">
        <v>1276</v>
      </c>
      <c r="M309">
        <v>0</v>
      </c>
      <c r="N309" s="39">
        <v>567</v>
      </c>
      <c r="O309">
        <v>0</v>
      </c>
      <c r="P309" s="40">
        <v>31</v>
      </c>
    </row>
    <row r="310" ht="14.5" spans="1:16">
      <c r="A310" s="39">
        <v>413</v>
      </c>
      <c r="B310" s="39">
        <v>0</v>
      </c>
      <c r="C310" s="40">
        <v>80</v>
      </c>
      <c r="D310" s="40">
        <v>8</v>
      </c>
      <c r="E310">
        <v>162.25</v>
      </c>
      <c r="F310">
        <v>64.9</v>
      </c>
      <c r="G310" s="41">
        <v>0.4</v>
      </c>
      <c r="H310" s="39">
        <v>12</v>
      </c>
      <c r="I310" s="40">
        <v>0.55</v>
      </c>
      <c r="J310" s="45">
        <v>0</v>
      </c>
      <c r="K310" s="45">
        <v>0</v>
      </c>
      <c r="L310" s="39">
        <v>1276</v>
      </c>
      <c r="M310">
        <v>0</v>
      </c>
      <c r="N310" s="39">
        <v>567</v>
      </c>
      <c r="O310">
        <v>0</v>
      </c>
      <c r="P310" s="40">
        <v>29</v>
      </c>
    </row>
    <row r="311" ht="14.5" spans="1:16">
      <c r="A311" s="39">
        <v>413</v>
      </c>
      <c r="B311" s="39">
        <v>0</v>
      </c>
      <c r="C311" s="40">
        <v>80</v>
      </c>
      <c r="D311" s="40">
        <v>8</v>
      </c>
      <c r="E311">
        <v>177</v>
      </c>
      <c r="F311">
        <v>70.8</v>
      </c>
      <c r="G311" s="41">
        <v>0.4</v>
      </c>
      <c r="H311" s="39">
        <v>12</v>
      </c>
      <c r="I311" s="40">
        <v>0.6</v>
      </c>
      <c r="J311" s="45">
        <v>0</v>
      </c>
      <c r="K311" s="45">
        <v>0</v>
      </c>
      <c r="L311" s="39">
        <v>1276</v>
      </c>
      <c r="M311">
        <v>0</v>
      </c>
      <c r="N311" s="39">
        <v>567</v>
      </c>
      <c r="O311">
        <v>0</v>
      </c>
      <c r="P311" s="40">
        <v>25</v>
      </c>
    </row>
    <row r="312" ht="14.5" spans="1:16">
      <c r="A312" s="39">
        <v>413</v>
      </c>
      <c r="B312" s="39">
        <v>0</v>
      </c>
      <c r="C312" s="40">
        <v>80</v>
      </c>
      <c r="D312" s="40">
        <v>8</v>
      </c>
      <c r="E312">
        <v>191.75</v>
      </c>
      <c r="F312">
        <v>76.7</v>
      </c>
      <c r="G312" s="41">
        <v>0.4</v>
      </c>
      <c r="H312" s="39">
        <v>12</v>
      </c>
      <c r="I312" s="40">
        <v>0.65</v>
      </c>
      <c r="J312" s="45">
        <v>0</v>
      </c>
      <c r="K312" s="45">
        <v>0</v>
      </c>
      <c r="L312" s="39">
        <v>1276</v>
      </c>
      <c r="M312">
        <v>0</v>
      </c>
      <c r="N312" s="39">
        <v>567</v>
      </c>
      <c r="O312">
        <v>0</v>
      </c>
      <c r="P312" s="40">
        <v>21.8</v>
      </c>
    </row>
    <row r="313" ht="14.5" spans="1:16">
      <c r="A313" s="39">
        <v>400</v>
      </c>
      <c r="B313" s="39">
        <v>20</v>
      </c>
      <c r="C313" s="40">
        <v>25</v>
      </c>
      <c r="D313" s="40">
        <v>48</v>
      </c>
      <c r="E313">
        <v>120</v>
      </c>
      <c r="F313">
        <v>48</v>
      </c>
      <c r="G313" s="41">
        <v>0.4</v>
      </c>
      <c r="H313" s="39">
        <v>14</v>
      </c>
      <c r="I313" s="40">
        <v>0.4</v>
      </c>
      <c r="J313" s="45">
        <v>0</v>
      </c>
      <c r="K313" s="45">
        <v>10</v>
      </c>
      <c r="L313" s="39">
        <v>1201</v>
      </c>
      <c r="M313">
        <v>0</v>
      </c>
      <c r="N313" s="39">
        <v>647</v>
      </c>
      <c r="O313">
        <v>0</v>
      </c>
      <c r="P313" s="40">
        <v>57.5</v>
      </c>
    </row>
    <row r="314" ht="14.5" spans="1:16">
      <c r="A314" s="39">
        <v>400</v>
      </c>
      <c r="B314" s="39">
        <v>30</v>
      </c>
      <c r="C314" s="40">
        <v>25</v>
      </c>
      <c r="D314" s="40">
        <v>48</v>
      </c>
      <c r="E314">
        <v>107.5</v>
      </c>
      <c r="F314">
        <v>43</v>
      </c>
      <c r="G314" s="41">
        <v>0.4</v>
      </c>
      <c r="H314" s="39">
        <v>14</v>
      </c>
      <c r="I314" s="40">
        <v>0.35</v>
      </c>
      <c r="J314" s="45">
        <v>0</v>
      </c>
      <c r="K314" s="45">
        <v>12</v>
      </c>
      <c r="L314" s="39">
        <v>1201</v>
      </c>
      <c r="M314">
        <v>0</v>
      </c>
      <c r="N314" s="39">
        <v>647</v>
      </c>
      <c r="O314">
        <v>0</v>
      </c>
      <c r="P314" s="40">
        <v>66.6</v>
      </c>
    </row>
    <row r="315" ht="14.5" spans="1:16">
      <c r="A315" s="39">
        <v>400</v>
      </c>
      <c r="B315" s="39">
        <v>40</v>
      </c>
      <c r="C315" s="40">
        <v>25</v>
      </c>
      <c r="D315" s="40">
        <v>48</v>
      </c>
      <c r="E315">
        <v>94.28</v>
      </c>
      <c r="F315">
        <v>37.72</v>
      </c>
      <c r="G315" s="41">
        <v>0.4</v>
      </c>
      <c r="H315" s="39">
        <v>16</v>
      </c>
      <c r="I315" s="40">
        <v>0.3</v>
      </c>
      <c r="J315" s="45">
        <v>0</v>
      </c>
      <c r="K315" s="45">
        <v>14</v>
      </c>
      <c r="L315" s="39">
        <v>1201</v>
      </c>
      <c r="M315">
        <v>0</v>
      </c>
      <c r="N315" s="39">
        <v>647</v>
      </c>
      <c r="O315">
        <v>0</v>
      </c>
      <c r="P315" s="40">
        <v>76.9</v>
      </c>
    </row>
    <row r="316" ht="14.5" spans="1:16">
      <c r="A316" s="39">
        <v>400</v>
      </c>
      <c r="B316" s="39">
        <v>0</v>
      </c>
      <c r="C316" s="40">
        <v>70</v>
      </c>
      <c r="D316" s="40">
        <v>24</v>
      </c>
      <c r="E316">
        <v>134.28</v>
      </c>
      <c r="F316">
        <v>53.72</v>
      </c>
      <c r="G316" s="41">
        <v>0.4</v>
      </c>
      <c r="H316" s="39">
        <v>8</v>
      </c>
      <c r="I316" s="40">
        <v>0.47</v>
      </c>
      <c r="J316" s="45">
        <v>4</v>
      </c>
      <c r="K316" s="45">
        <v>12</v>
      </c>
      <c r="L316" s="39">
        <v>706</v>
      </c>
      <c r="M316">
        <v>0</v>
      </c>
      <c r="N316" s="39">
        <v>872</v>
      </c>
      <c r="O316">
        <v>0</v>
      </c>
      <c r="P316" s="40">
        <v>31</v>
      </c>
    </row>
    <row r="317" ht="14.5" spans="1:16">
      <c r="A317" s="39">
        <v>400</v>
      </c>
      <c r="B317" s="39">
        <v>0</v>
      </c>
      <c r="C317" s="40">
        <v>70</v>
      </c>
      <c r="D317" s="40">
        <v>24</v>
      </c>
      <c r="E317">
        <v>134.28</v>
      </c>
      <c r="F317">
        <v>53.72</v>
      </c>
      <c r="G317" s="41">
        <v>0.4</v>
      </c>
      <c r="H317" s="39">
        <v>10</v>
      </c>
      <c r="I317" s="40">
        <v>0.47</v>
      </c>
      <c r="J317" s="45">
        <v>8</v>
      </c>
      <c r="K317" s="45">
        <v>12</v>
      </c>
      <c r="L317" s="39">
        <v>706</v>
      </c>
      <c r="M317">
        <v>0</v>
      </c>
      <c r="N317" s="39">
        <v>872</v>
      </c>
      <c r="O317">
        <v>0</v>
      </c>
      <c r="P317" s="40">
        <v>36</v>
      </c>
    </row>
    <row r="318" ht="14.5" spans="1:16">
      <c r="A318" s="39">
        <v>400</v>
      </c>
      <c r="B318" s="39">
        <v>0</v>
      </c>
      <c r="C318" s="40">
        <v>70</v>
      </c>
      <c r="D318" s="40">
        <v>24</v>
      </c>
      <c r="E318">
        <v>134.28</v>
      </c>
      <c r="F318">
        <v>53.72</v>
      </c>
      <c r="G318" s="41">
        <v>0.4</v>
      </c>
      <c r="H318" s="39">
        <v>12</v>
      </c>
      <c r="I318" s="40">
        <v>0.47</v>
      </c>
      <c r="J318" s="45">
        <v>14</v>
      </c>
      <c r="K318" s="45">
        <v>12</v>
      </c>
      <c r="L318" s="39">
        <v>706</v>
      </c>
      <c r="M318">
        <v>0</v>
      </c>
      <c r="N318" s="39">
        <v>872</v>
      </c>
      <c r="O318">
        <v>0</v>
      </c>
      <c r="P318" s="40">
        <v>39</v>
      </c>
    </row>
    <row r="319" ht="14.5" spans="1:16">
      <c r="A319" s="39">
        <v>410</v>
      </c>
      <c r="B319" s="39">
        <v>0</v>
      </c>
      <c r="C319" s="40">
        <v>75</v>
      </c>
      <c r="D319" s="40">
        <v>24</v>
      </c>
      <c r="E319">
        <v>104.45</v>
      </c>
      <c r="F319">
        <v>59.55</v>
      </c>
      <c r="G319" s="41">
        <v>0.57</v>
      </c>
      <c r="H319" s="39">
        <v>10</v>
      </c>
      <c r="I319" s="40">
        <v>0.4</v>
      </c>
      <c r="J319" s="45">
        <v>79.2</v>
      </c>
      <c r="K319" s="45">
        <v>0</v>
      </c>
      <c r="L319" s="39">
        <v>1044.4</v>
      </c>
      <c r="M319">
        <v>0</v>
      </c>
      <c r="N319" s="39">
        <v>530.6</v>
      </c>
      <c r="O319">
        <v>0</v>
      </c>
      <c r="P319" s="40">
        <v>31.1</v>
      </c>
    </row>
    <row r="320" ht="14.5" spans="1:16">
      <c r="A320" s="39">
        <v>400</v>
      </c>
      <c r="B320" s="39">
        <v>0</v>
      </c>
      <c r="C320" s="40">
        <v>70</v>
      </c>
      <c r="D320" s="40">
        <v>48</v>
      </c>
      <c r="E320">
        <v>142.85</v>
      </c>
      <c r="F320">
        <v>57.15</v>
      </c>
      <c r="G320" s="41">
        <v>0.4</v>
      </c>
      <c r="H320" s="39">
        <v>10</v>
      </c>
      <c r="I320" s="40">
        <v>0.5</v>
      </c>
      <c r="J320" s="45">
        <v>48</v>
      </c>
      <c r="K320" s="45">
        <v>24</v>
      </c>
      <c r="L320" s="39">
        <v>950</v>
      </c>
      <c r="M320">
        <v>0</v>
      </c>
      <c r="N320" s="39">
        <v>850</v>
      </c>
      <c r="O320">
        <v>0</v>
      </c>
      <c r="P320" s="40">
        <v>51.43</v>
      </c>
    </row>
    <row r="321" ht="14.5" spans="1:16">
      <c r="A321" s="39">
        <v>390</v>
      </c>
      <c r="B321" s="39">
        <v>0</v>
      </c>
      <c r="C321" s="40">
        <v>70</v>
      </c>
      <c r="D321" s="40">
        <v>24</v>
      </c>
      <c r="E321">
        <v>139.28</v>
      </c>
      <c r="F321">
        <v>55.72</v>
      </c>
      <c r="G321" s="41">
        <v>0.4</v>
      </c>
      <c r="H321" s="39">
        <v>14</v>
      </c>
      <c r="I321" s="40">
        <v>0.5</v>
      </c>
      <c r="J321" s="45">
        <v>66</v>
      </c>
      <c r="K321" s="45">
        <v>0</v>
      </c>
      <c r="L321" s="39">
        <v>950</v>
      </c>
      <c r="M321">
        <v>0</v>
      </c>
      <c r="N321" s="39">
        <v>740</v>
      </c>
      <c r="O321">
        <v>0</v>
      </c>
      <c r="P321" s="40">
        <v>38</v>
      </c>
    </row>
    <row r="322" ht="14.5" spans="1:16">
      <c r="A322" s="39">
        <v>500</v>
      </c>
      <c r="B322" s="39">
        <v>100</v>
      </c>
      <c r="C322" s="40">
        <v>25</v>
      </c>
      <c r="D322" s="40">
        <v>48</v>
      </c>
      <c r="E322">
        <v>278.57</v>
      </c>
      <c r="F322">
        <v>111.43</v>
      </c>
      <c r="G322" s="41">
        <v>0.4</v>
      </c>
      <c r="H322" s="39">
        <v>3</v>
      </c>
      <c r="I322" s="40">
        <v>0.65</v>
      </c>
      <c r="J322" s="45">
        <v>0</v>
      </c>
      <c r="K322" s="45">
        <v>0</v>
      </c>
      <c r="L322" s="39">
        <v>745</v>
      </c>
      <c r="M322">
        <v>0</v>
      </c>
      <c r="N322" s="39">
        <v>532.5</v>
      </c>
      <c r="O322">
        <v>0</v>
      </c>
      <c r="P322" s="40">
        <v>53.31</v>
      </c>
    </row>
    <row r="323" ht="14.5" spans="1:16">
      <c r="A323" s="39">
        <v>500</v>
      </c>
      <c r="B323" s="39">
        <v>100</v>
      </c>
      <c r="C323" s="40">
        <v>25</v>
      </c>
      <c r="D323" s="40">
        <v>48</v>
      </c>
      <c r="E323">
        <v>233.53</v>
      </c>
      <c r="F323">
        <v>156.47</v>
      </c>
      <c r="G323" s="41">
        <v>0.67</v>
      </c>
      <c r="H323" s="39">
        <v>5</v>
      </c>
      <c r="I323" s="40">
        <v>0.65</v>
      </c>
      <c r="J323" s="45">
        <v>0</v>
      </c>
      <c r="K323" s="45">
        <v>0</v>
      </c>
      <c r="L323" s="39">
        <v>745</v>
      </c>
      <c r="M323">
        <v>0</v>
      </c>
      <c r="N323" s="39">
        <v>532.5</v>
      </c>
      <c r="O323">
        <v>0</v>
      </c>
      <c r="P323" s="40">
        <v>52.13</v>
      </c>
    </row>
    <row r="324" ht="14.5" spans="1:16">
      <c r="A324" s="39">
        <v>500</v>
      </c>
      <c r="B324" s="39">
        <v>100</v>
      </c>
      <c r="C324" s="40">
        <v>25</v>
      </c>
      <c r="D324" s="40">
        <v>48</v>
      </c>
      <c r="E324">
        <v>202.07</v>
      </c>
      <c r="F324">
        <v>187.93</v>
      </c>
      <c r="G324" s="41">
        <v>0.93</v>
      </c>
      <c r="H324" s="39">
        <v>7</v>
      </c>
      <c r="I324" s="40">
        <v>0.65</v>
      </c>
      <c r="J324" s="45">
        <v>0</v>
      </c>
      <c r="K324" s="45">
        <v>0</v>
      </c>
      <c r="L324" s="39">
        <v>745</v>
      </c>
      <c r="M324">
        <v>0</v>
      </c>
      <c r="N324" s="39">
        <v>532.5</v>
      </c>
      <c r="O324">
        <v>0</v>
      </c>
      <c r="P324" s="40">
        <v>44.05</v>
      </c>
    </row>
    <row r="325" ht="14.5" spans="1:16">
      <c r="A325" s="39">
        <v>500</v>
      </c>
      <c r="B325" s="39">
        <v>100</v>
      </c>
      <c r="C325" s="40">
        <v>25</v>
      </c>
      <c r="D325" s="40">
        <v>48</v>
      </c>
      <c r="E325">
        <v>177.27</v>
      </c>
      <c r="F325">
        <v>212.73</v>
      </c>
      <c r="G325" s="41">
        <v>1.2</v>
      </c>
      <c r="H325" s="39">
        <v>9</v>
      </c>
      <c r="I325" s="40">
        <v>0.65</v>
      </c>
      <c r="J325" s="45">
        <v>0</v>
      </c>
      <c r="K325" s="45">
        <v>0</v>
      </c>
      <c r="L325" s="39">
        <v>745</v>
      </c>
      <c r="M325">
        <v>0</v>
      </c>
      <c r="N325" s="39">
        <v>532.5</v>
      </c>
      <c r="O325">
        <v>0</v>
      </c>
      <c r="P325" s="40">
        <v>36.73</v>
      </c>
    </row>
    <row r="326" ht="14.5" spans="1:16">
      <c r="A326" s="39">
        <v>500</v>
      </c>
      <c r="B326" s="39">
        <v>100</v>
      </c>
      <c r="C326" s="40">
        <v>25</v>
      </c>
      <c r="D326" s="40">
        <v>48</v>
      </c>
      <c r="E326">
        <v>157.89</v>
      </c>
      <c r="F326">
        <v>232.11</v>
      </c>
      <c r="G326" s="41">
        <v>1.47</v>
      </c>
      <c r="H326" s="39">
        <v>11</v>
      </c>
      <c r="I326" s="40">
        <v>0.65</v>
      </c>
      <c r="J326" s="45">
        <v>0</v>
      </c>
      <c r="K326" s="45">
        <v>0</v>
      </c>
      <c r="L326" s="39">
        <v>745</v>
      </c>
      <c r="M326">
        <v>0</v>
      </c>
      <c r="N326" s="39">
        <v>532.5</v>
      </c>
      <c r="O326">
        <v>0</v>
      </c>
      <c r="P326" s="40">
        <v>27.3</v>
      </c>
    </row>
    <row r="327" ht="14.5" spans="1:16">
      <c r="A327" s="39">
        <v>381</v>
      </c>
      <c r="B327" s="39">
        <v>0</v>
      </c>
      <c r="C327" s="40">
        <v>25</v>
      </c>
      <c r="D327" s="40">
        <v>48</v>
      </c>
      <c r="E327">
        <v>122.46</v>
      </c>
      <c r="F327">
        <v>48.99</v>
      </c>
      <c r="G327" s="41">
        <v>0.4</v>
      </c>
      <c r="H327" s="39">
        <v>8</v>
      </c>
      <c r="I327" s="40">
        <v>0.45</v>
      </c>
      <c r="J327" s="45">
        <v>0</v>
      </c>
      <c r="K327" s="45">
        <v>0</v>
      </c>
      <c r="L327" s="39">
        <v>1294</v>
      </c>
      <c r="M327">
        <v>0</v>
      </c>
      <c r="N327" s="39">
        <v>554</v>
      </c>
      <c r="O327">
        <v>0</v>
      </c>
      <c r="P327" s="40">
        <v>24.5</v>
      </c>
    </row>
    <row r="328" ht="14.5" spans="1:16">
      <c r="A328" s="39">
        <v>381</v>
      </c>
      <c r="B328" s="39">
        <v>0</v>
      </c>
      <c r="C328" s="40">
        <v>80</v>
      </c>
      <c r="D328" s="40">
        <v>3</v>
      </c>
      <c r="E328">
        <v>122.46</v>
      </c>
      <c r="F328">
        <v>48.99</v>
      </c>
      <c r="G328" s="41">
        <v>0.4</v>
      </c>
      <c r="H328" s="39">
        <v>8</v>
      </c>
      <c r="I328" s="40">
        <v>0.45</v>
      </c>
      <c r="J328" s="45">
        <v>0</v>
      </c>
      <c r="K328" s="45">
        <v>0</v>
      </c>
      <c r="L328" s="39">
        <v>1294</v>
      </c>
      <c r="M328">
        <v>0</v>
      </c>
      <c r="N328" s="39">
        <v>554</v>
      </c>
      <c r="O328">
        <v>0</v>
      </c>
      <c r="P328" s="40">
        <v>23</v>
      </c>
    </row>
    <row r="329" ht="14.5" spans="1:16">
      <c r="A329" s="39">
        <v>381</v>
      </c>
      <c r="B329" s="39">
        <v>0</v>
      </c>
      <c r="C329" s="40">
        <v>80</v>
      </c>
      <c r="D329" s="40">
        <v>6</v>
      </c>
      <c r="E329">
        <v>122.46</v>
      </c>
      <c r="F329">
        <v>48.99</v>
      </c>
      <c r="G329" s="41">
        <v>0.4</v>
      </c>
      <c r="H329" s="39">
        <v>8</v>
      </c>
      <c r="I329" s="40">
        <v>0.45</v>
      </c>
      <c r="J329" s="45">
        <v>0</v>
      </c>
      <c r="K329" s="45">
        <v>0</v>
      </c>
      <c r="L329" s="39">
        <v>1294</v>
      </c>
      <c r="M329">
        <v>0</v>
      </c>
      <c r="N329" s="39">
        <v>554</v>
      </c>
      <c r="O329">
        <v>0</v>
      </c>
      <c r="P329" s="40">
        <v>33</v>
      </c>
    </row>
    <row r="330" ht="14.5" spans="1:16">
      <c r="A330" s="39">
        <v>382</v>
      </c>
      <c r="B330" s="39">
        <v>0</v>
      </c>
      <c r="C330" s="40">
        <v>60</v>
      </c>
      <c r="D330" s="40">
        <v>24</v>
      </c>
      <c r="E330">
        <v>136.42</v>
      </c>
      <c r="F330">
        <v>54.58</v>
      </c>
      <c r="G330" s="41">
        <v>0.4</v>
      </c>
      <c r="H330" s="39">
        <v>12</v>
      </c>
      <c r="I330" s="40">
        <v>0.5</v>
      </c>
      <c r="J330" s="45">
        <v>0</v>
      </c>
      <c r="K330" s="45">
        <v>0</v>
      </c>
      <c r="L330" s="39">
        <v>1294</v>
      </c>
      <c r="M330">
        <v>0</v>
      </c>
      <c r="N330" s="39">
        <v>554</v>
      </c>
      <c r="O330">
        <v>0</v>
      </c>
      <c r="P330" s="40">
        <v>64.3</v>
      </c>
    </row>
    <row r="331" ht="14.5" spans="1:16">
      <c r="A331" s="39">
        <v>400</v>
      </c>
      <c r="B331" s="39">
        <v>0</v>
      </c>
      <c r="C331" s="40">
        <v>60</v>
      </c>
      <c r="D331" s="40">
        <v>24</v>
      </c>
      <c r="E331">
        <v>121.42</v>
      </c>
      <c r="F331">
        <v>48.58</v>
      </c>
      <c r="G331" s="41">
        <v>0.4</v>
      </c>
      <c r="H331" s="39">
        <v>12</v>
      </c>
      <c r="I331" s="40">
        <v>0.425</v>
      </c>
      <c r="J331" s="45">
        <v>0</v>
      </c>
      <c r="K331" s="45">
        <v>0</v>
      </c>
      <c r="L331" s="39">
        <v>1193</v>
      </c>
      <c r="M331">
        <v>0</v>
      </c>
      <c r="N331" s="39">
        <v>642</v>
      </c>
      <c r="O331">
        <v>0</v>
      </c>
      <c r="P331" s="40">
        <v>27.4</v>
      </c>
    </row>
    <row r="332" ht="14.5" spans="1:16">
      <c r="A332" s="39">
        <v>378</v>
      </c>
      <c r="B332" s="39">
        <v>0</v>
      </c>
      <c r="C332" s="40">
        <v>60</v>
      </c>
      <c r="D332" s="40">
        <v>24</v>
      </c>
      <c r="E332">
        <v>66.15</v>
      </c>
      <c r="F332">
        <v>66.15</v>
      </c>
      <c r="G332" s="41">
        <v>1</v>
      </c>
      <c r="H332" s="39">
        <v>13</v>
      </c>
      <c r="I332" s="40">
        <v>0.35</v>
      </c>
      <c r="J332" s="45">
        <v>29.46</v>
      </c>
      <c r="K332" s="45">
        <v>0</v>
      </c>
      <c r="L332" s="39">
        <v>1268.66</v>
      </c>
      <c r="M332">
        <v>0</v>
      </c>
      <c r="N332" s="39">
        <v>683.13</v>
      </c>
      <c r="O332">
        <v>0</v>
      </c>
      <c r="P332" s="40">
        <v>28.67</v>
      </c>
    </row>
    <row r="333" ht="14.5" spans="1:16">
      <c r="A333" s="39">
        <v>445.5</v>
      </c>
      <c r="B333" s="39">
        <v>0</v>
      </c>
      <c r="C333" s="40">
        <v>60</v>
      </c>
      <c r="D333" s="40">
        <v>24</v>
      </c>
      <c r="E333">
        <v>77.955</v>
      </c>
      <c r="F333">
        <v>77.97</v>
      </c>
      <c r="G333" s="41">
        <v>1</v>
      </c>
      <c r="H333" s="39">
        <v>13</v>
      </c>
      <c r="I333" s="40">
        <v>0.35</v>
      </c>
      <c r="J333" s="45">
        <v>29.46</v>
      </c>
      <c r="K333" s="45">
        <v>0</v>
      </c>
      <c r="L333" s="39">
        <v>1268.66</v>
      </c>
      <c r="M333">
        <v>0</v>
      </c>
      <c r="N333" s="39">
        <v>683.13</v>
      </c>
      <c r="O333">
        <v>0</v>
      </c>
      <c r="P333" s="40">
        <v>33.33</v>
      </c>
    </row>
    <row r="334" ht="14.5" spans="1:16">
      <c r="A334" s="39">
        <v>513</v>
      </c>
      <c r="B334" s="39">
        <v>0</v>
      </c>
      <c r="C334" s="40">
        <v>60</v>
      </c>
      <c r="D334" s="40">
        <v>24</v>
      </c>
      <c r="E334">
        <v>89.77</v>
      </c>
      <c r="F334">
        <v>89.78</v>
      </c>
      <c r="G334" s="41">
        <v>1</v>
      </c>
      <c r="H334" s="39">
        <v>13</v>
      </c>
      <c r="I334" s="40">
        <v>0.35</v>
      </c>
      <c r="J334" s="45">
        <v>29.46</v>
      </c>
      <c r="K334" s="45">
        <v>0</v>
      </c>
      <c r="L334" s="39">
        <v>1268.66</v>
      </c>
      <c r="M334">
        <v>0</v>
      </c>
      <c r="N334" s="39">
        <v>683.13</v>
      </c>
      <c r="O334">
        <v>0</v>
      </c>
      <c r="P334" s="40">
        <v>37.22</v>
      </c>
    </row>
    <row r="335" ht="14.5" spans="1:16">
      <c r="A335" s="39">
        <v>594</v>
      </c>
      <c r="B335" s="39">
        <v>0</v>
      </c>
      <c r="C335" s="40">
        <v>60</v>
      </c>
      <c r="D335" s="40">
        <v>24</v>
      </c>
      <c r="E335">
        <v>103.95</v>
      </c>
      <c r="F335">
        <v>103.95</v>
      </c>
      <c r="G335" s="41">
        <v>1</v>
      </c>
      <c r="H335" s="39">
        <v>13</v>
      </c>
      <c r="I335" s="40">
        <v>0.35</v>
      </c>
      <c r="J335" s="45">
        <v>29.46</v>
      </c>
      <c r="K335" s="45">
        <v>0</v>
      </c>
      <c r="L335" s="39">
        <v>1268.66</v>
      </c>
      <c r="M335">
        <v>0</v>
      </c>
      <c r="N335" s="39">
        <v>683.13</v>
      </c>
      <c r="O335">
        <v>0</v>
      </c>
      <c r="P335" s="40">
        <v>43.56</v>
      </c>
    </row>
    <row r="336" ht="14.5" spans="1:16">
      <c r="A336" s="39">
        <v>661.5</v>
      </c>
      <c r="B336" s="39">
        <v>0</v>
      </c>
      <c r="C336" s="40">
        <v>60</v>
      </c>
      <c r="D336" s="40">
        <v>24</v>
      </c>
      <c r="E336">
        <v>115.755</v>
      </c>
      <c r="F336">
        <v>115.77</v>
      </c>
      <c r="G336" s="41">
        <v>1</v>
      </c>
      <c r="H336" s="39">
        <v>13</v>
      </c>
      <c r="I336" s="40">
        <v>0.35</v>
      </c>
      <c r="J336" s="45">
        <v>29.46</v>
      </c>
      <c r="K336" s="45">
        <v>0</v>
      </c>
      <c r="L336" s="39">
        <v>1268.66</v>
      </c>
      <c r="M336">
        <v>0</v>
      </c>
      <c r="N336" s="39">
        <v>683.13</v>
      </c>
      <c r="O336">
        <v>0</v>
      </c>
      <c r="P336" s="40">
        <v>44.78</v>
      </c>
    </row>
    <row r="337" ht="14.5" spans="1:16">
      <c r="A337" s="39">
        <v>400</v>
      </c>
      <c r="B337" s="39">
        <v>0</v>
      </c>
      <c r="C337" s="40">
        <v>60</v>
      </c>
      <c r="D337" s="40">
        <v>8</v>
      </c>
      <c r="E337">
        <v>70</v>
      </c>
      <c r="F337">
        <v>70</v>
      </c>
      <c r="G337" s="41">
        <v>1</v>
      </c>
      <c r="H337" s="39">
        <v>13</v>
      </c>
      <c r="I337" s="40">
        <v>0.35</v>
      </c>
      <c r="J337" s="45">
        <v>29.46</v>
      </c>
      <c r="K337" s="45">
        <v>0</v>
      </c>
      <c r="L337" s="39">
        <v>1268.66</v>
      </c>
      <c r="M337">
        <v>0</v>
      </c>
      <c r="N337" s="39">
        <v>683.13</v>
      </c>
      <c r="O337">
        <v>0</v>
      </c>
      <c r="P337" s="40">
        <v>38.78</v>
      </c>
    </row>
    <row r="338" ht="14.5" spans="1:16">
      <c r="A338" s="39">
        <v>400</v>
      </c>
      <c r="B338" s="39">
        <v>0</v>
      </c>
      <c r="C338" s="40">
        <v>60</v>
      </c>
      <c r="D338" s="40">
        <v>12</v>
      </c>
      <c r="E338">
        <v>70</v>
      </c>
      <c r="F338">
        <v>70</v>
      </c>
      <c r="G338" s="41">
        <v>1</v>
      </c>
      <c r="H338" s="39">
        <v>13</v>
      </c>
      <c r="I338" s="40">
        <v>0.35</v>
      </c>
      <c r="J338" s="45">
        <v>29.46</v>
      </c>
      <c r="K338" s="45">
        <v>0</v>
      </c>
      <c r="L338" s="39">
        <v>1268.66</v>
      </c>
      <c r="M338">
        <v>0</v>
      </c>
      <c r="N338" s="39">
        <v>683.13</v>
      </c>
      <c r="O338">
        <v>0</v>
      </c>
      <c r="P338" s="40">
        <v>40.22</v>
      </c>
    </row>
    <row r="339" ht="14.5" spans="1:16">
      <c r="A339" s="39">
        <v>400</v>
      </c>
      <c r="B339" s="39">
        <v>0</v>
      </c>
      <c r="C339" s="40">
        <v>60</v>
      </c>
      <c r="D339" s="40">
        <v>24</v>
      </c>
      <c r="E339">
        <v>70</v>
      </c>
      <c r="F339">
        <v>70</v>
      </c>
      <c r="G339" s="41">
        <v>1</v>
      </c>
      <c r="H339" s="39">
        <v>13</v>
      </c>
      <c r="I339" s="40">
        <v>0.35</v>
      </c>
      <c r="J339" s="45">
        <v>29.46</v>
      </c>
      <c r="K339" s="45">
        <v>0</v>
      </c>
      <c r="L339" s="39">
        <v>1268.66</v>
      </c>
      <c r="M339">
        <v>0</v>
      </c>
      <c r="N339" s="39">
        <v>683.13</v>
      </c>
      <c r="O339">
        <v>0</v>
      </c>
      <c r="P339" s="40">
        <v>42.33</v>
      </c>
    </row>
    <row r="340" ht="14.5" spans="1:16">
      <c r="A340" s="39">
        <v>408</v>
      </c>
      <c r="B340" s="39">
        <v>0</v>
      </c>
      <c r="C340" s="40">
        <v>60</v>
      </c>
      <c r="D340" s="40">
        <v>24</v>
      </c>
      <c r="E340">
        <v>102</v>
      </c>
      <c r="F340">
        <v>40.8</v>
      </c>
      <c r="G340" s="41">
        <v>0.4</v>
      </c>
      <c r="H340" s="39">
        <v>10</v>
      </c>
      <c r="I340" s="40">
        <v>0.35</v>
      </c>
      <c r="J340" s="45">
        <v>14.3</v>
      </c>
      <c r="K340" s="45">
        <v>10.2</v>
      </c>
      <c r="L340" s="39">
        <v>1248</v>
      </c>
      <c r="M340">
        <v>0</v>
      </c>
      <c r="N340" s="39">
        <v>600</v>
      </c>
      <c r="O340">
        <v>0</v>
      </c>
      <c r="P340" s="40">
        <v>41.44</v>
      </c>
    </row>
    <row r="341" ht="14.5" spans="1:16">
      <c r="A341" s="39">
        <v>500</v>
      </c>
      <c r="B341" s="39">
        <v>0</v>
      </c>
      <c r="C341" s="40">
        <v>25</v>
      </c>
      <c r="D341" s="40">
        <v>48</v>
      </c>
      <c r="E341">
        <v>125</v>
      </c>
      <c r="F341">
        <v>50</v>
      </c>
      <c r="G341" s="41">
        <v>0.4</v>
      </c>
      <c r="H341" s="39">
        <v>12</v>
      </c>
      <c r="I341" s="40">
        <v>0.35</v>
      </c>
      <c r="J341" s="45">
        <v>60</v>
      </c>
      <c r="K341" s="45">
        <v>10</v>
      </c>
      <c r="L341" s="39">
        <v>1090</v>
      </c>
      <c r="M341">
        <v>0</v>
      </c>
      <c r="N341" s="39">
        <v>575</v>
      </c>
      <c r="O341">
        <v>0</v>
      </c>
      <c r="P341" s="40">
        <v>27.93</v>
      </c>
    </row>
    <row r="342" ht="14.5" spans="1:16">
      <c r="A342" s="39">
        <v>500</v>
      </c>
      <c r="B342" s="39">
        <v>10</v>
      </c>
      <c r="C342" s="40">
        <v>25</v>
      </c>
      <c r="D342" s="40">
        <v>48</v>
      </c>
      <c r="E342">
        <v>127.5</v>
      </c>
      <c r="F342">
        <v>51</v>
      </c>
      <c r="G342" s="41">
        <v>0.4</v>
      </c>
      <c r="H342" s="39">
        <v>12</v>
      </c>
      <c r="I342" s="40">
        <v>0.35</v>
      </c>
      <c r="J342" s="45">
        <v>60</v>
      </c>
      <c r="K342" s="45">
        <v>10</v>
      </c>
      <c r="L342" s="39">
        <v>1090</v>
      </c>
      <c r="M342">
        <v>0</v>
      </c>
      <c r="N342" s="39">
        <v>575</v>
      </c>
      <c r="O342">
        <v>0</v>
      </c>
      <c r="P342" s="40">
        <v>31.28</v>
      </c>
    </row>
    <row r="343" ht="14.5" spans="1:16">
      <c r="A343" s="39">
        <v>500</v>
      </c>
      <c r="B343" s="39">
        <v>20</v>
      </c>
      <c r="C343" s="40">
        <v>25</v>
      </c>
      <c r="D343" s="40">
        <v>48</v>
      </c>
      <c r="E343">
        <v>130</v>
      </c>
      <c r="F343">
        <v>52</v>
      </c>
      <c r="G343" s="41">
        <v>0.4</v>
      </c>
      <c r="H343" s="39">
        <v>12</v>
      </c>
      <c r="I343" s="40">
        <v>0.35</v>
      </c>
      <c r="J343" s="45">
        <v>60</v>
      </c>
      <c r="K343" s="45">
        <v>10</v>
      </c>
      <c r="L343" s="39">
        <v>1090</v>
      </c>
      <c r="M343">
        <v>0</v>
      </c>
      <c r="N343" s="39">
        <v>575</v>
      </c>
      <c r="O343">
        <v>0</v>
      </c>
      <c r="P343" s="40">
        <v>34.91</v>
      </c>
    </row>
    <row r="344" ht="14.5" spans="1:16">
      <c r="A344" s="39">
        <v>500</v>
      </c>
      <c r="B344" s="39">
        <v>30</v>
      </c>
      <c r="C344" s="40">
        <v>25</v>
      </c>
      <c r="D344" s="40">
        <v>48</v>
      </c>
      <c r="E344">
        <v>132.5</v>
      </c>
      <c r="F344">
        <v>53</v>
      </c>
      <c r="G344" s="41">
        <v>0.4</v>
      </c>
      <c r="H344" s="39">
        <v>12</v>
      </c>
      <c r="I344" s="40">
        <v>0.35</v>
      </c>
      <c r="J344" s="45">
        <v>60</v>
      </c>
      <c r="K344" s="45">
        <v>10</v>
      </c>
      <c r="L344" s="39">
        <v>1090</v>
      </c>
      <c r="M344">
        <v>0</v>
      </c>
      <c r="N344" s="39">
        <v>575</v>
      </c>
      <c r="O344">
        <v>0</v>
      </c>
      <c r="P344" s="40">
        <v>38.82</v>
      </c>
    </row>
    <row r="345" ht="14.5" spans="1:16">
      <c r="A345" s="39">
        <v>500</v>
      </c>
      <c r="B345" s="39">
        <v>40</v>
      </c>
      <c r="C345" s="40">
        <v>25</v>
      </c>
      <c r="D345" s="40">
        <v>48</v>
      </c>
      <c r="E345">
        <v>135</v>
      </c>
      <c r="F345">
        <v>54</v>
      </c>
      <c r="G345" s="41">
        <v>0.4</v>
      </c>
      <c r="H345" s="39">
        <v>12</v>
      </c>
      <c r="I345" s="40">
        <v>0.35</v>
      </c>
      <c r="J345" s="45">
        <v>60</v>
      </c>
      <c r="K345" s="45">
        <v>10</v>
      </c>
      <c r="L345" s="39">
        <v>1090</v>
      </c>
      <c r="M345">
        <v>0</v>
      </c>
      <c r="N345" s="39">
        <v>575</v>
      </c>
      <c r="O345">
        <v>0</v>
      </c>
      <c r="P345" s="40">
        <v>40.18</v>
      </c>
    </row>
    <row r="346" ht="14.5" spans="1:16">
      <c r="A346" s="39">
        <v>500</v>
      </c>
      <c r="B346" s="39">
        <v>50</v>
      </c>
      <c r="C346" s="40">
        <v>25</v>
      </c>
      <c r="D346" s="40">
        <v>48</v>
      </c>
      <c r="E346">
        <v>137.5</v>
      </c>
      <c r="F346">
        <v>55</v>
      </c>
      <c r="G346" s="41">
        <v>0.4</v>
      </c>
      <c r="H346" s="39">
        <v>12</v>
      </c>
      <c r="I346" s="40">
        <v>0.35</v>
      </c>
      <c r="J346" s="45">
        <v>60</v>
      </c>
      <c r="K346" s="45">
        <v>10</v>
      </c>
      <c r="L346" s="39">
        <v>1090</v>
      </c>
      <c r="M346">
        <v>0</v>
      </c>
      <c r="N346" s="39">
        <v>575</v>
      </c>
      <c r="O346">
        <v>0</v>
      </c>
      <c r="P346" s="40">
        <v>42.3</v>
      </c>
    </row>
    <row r="347" ht="14.5" spans="1:16">
      <c r="A347" s="39">
        <v>500</v>
      </c>
      <c r="B347" s="39">
        <v>60</v>
      </c>
      <c r="C347" s="40">
        <v>25</v>
      </c>
      <c r="D347" s="40">
        <v>48</v>
      </c>
      <c r="E347">
        <v>140</v>
      </c>
      <c r="F347">
        <v>56</v>
      </c>
      <c r="G347" s="41">
        <v>0.4</v>
      </c>
      <c r="H347" s="39">
        <v>12</v>
      </c>
      <c r="I347" s="40">
        <v>0.35</v>
      </c>
      <c r="J347" s="45">
        <v>60</v>
      </c>
      <c r="K347" s="45">
        <v>10</v>
      </c>
      <c r="L347" s="39">
        <v>1090</v>
      </c>
      <c r="M347">
        <v>0</v>
      </c>
      <c r="N347" s="39">
        <v>575</v>
      </c>
      <c r="O347">
        <v>0</v>
      </c>
      <c r="P347" s="40">
        <v>39.01</v>
      </c>
    </row>
    <row r="348" ht="14.5" spans="1:16">
      <c r="A348" s="39">
        <v>409</v>
      </c>
      <c r="B348" s="39">
        <v>50</v>
      </c>
      <c r="C348" s="40">
        <v>25</v>
      </c>
      <c r="D348" s="40">
        <v>48</v>
      </c>
      <c r="E348">
        <v>114.75</v>
      </c>
      <c r="F348">
        <v>45.9</v>
      </c>
      <c r="G348" s="41">
        <v>0.4</v>
      </c>
      <c r="H348" s="39">
        <v>8</v>
      </c>
      <c r="I348" s="40">
        <v>0.35</v>
      </c>
      <c r="J348" s="45">
        <v>92.5</v>
      </c>
      <c r="K348" s="45">
        <v>2.86</v>
      </c>
      <c r="L348" s="39">
        <v>1290</v>
      </c>
      <c r="M348">
        <v>0</v>
      </c>
      <c r="N348" s="39">
        <v>549</v>
      </c>
      <c r="O348">
        <v>0</v>
      </c>
      <c r="P348" s="40">
        <v>45.87</v>
      </c>
    </row>
    <row r="349" ht="14.5" spans="1:16">
      <c r="A349" s="39">
        <v>394</v>
      </c>
      <c r="B349" s="39">
        <v>100</v>
      </c>
      <c r="C349" s="40">
        <v>25</v>
      </c>
      <c r="D349" s="40">
        <v>48</v>
      </c>
      <c r="E349">
        <v>141.14</v>
      </c>
      <c r="F349">
        <v>56.46</v>
      </c>
      <c r="G349" s="41">
        <v>0.4</v>
      </c>
      <c r="H349" s="39">
        <v>8</v>
      </c>
      <c r="I349" s="40">
        <v>0.4</v>
      </c>
      <c r="J349" s="45">
        <v>59</v>
      </c>
      <c r="K349" s="45">
        <v>5.91</v>
      </c>
      <c r="L349" s="39">
        <v>1201</v>
      </c>
      <c r="M349">
        <v>0</v>
      </c>
      <c r="N349" s="39">
        <v>647</v>
      </c>
      <c r="O349">
        <v>0</v>
      </c>
      <c r="P349" s="40">
        <v>52.79</v>
      </c>
    </row>
    <row r="350" ht="14.5" spans="1:16">
      <c r="A350" s="39">
        <v>394</v>
      </c>
      <c r="B350" s="39">
        <v>100</v>
      </c>
      <c r="C350" s="40">
        <v>60</v>
      </c>
      <c r="D350" s="40">
        <v>16</v>
      </c>
      <c r="E350">
        <v>141.14</v>
      </c>
      <c r="F350">
        <v>56.46</v>
      </c>
      <c r="G350" s="41">
        <v>0.4</v>
      </c>
      <c r="H350" s="39">
        <v>8</v>
      </c>
      <c r="I350" s="40">
        <v>0.4</v>
      </c>
      <c r="J350" s="45">
        <v>59</v>
      </c>
      <c r="K350" s="45">
        <v>5.91</v>
      </c>
      <c r="L350" s="39">
        <v>1201</v>
      </c>
      <c r="M350">
        <v>0</v>
      </c>
      <c r="N350" s="39">
        <v>647</v>
      </c>
      <c r="O350">
        <v>0</v>
      </c>
      <c r="P350" s="40">
        <v>69.28</v>
      </c>
    </row>
    <row r="351" ht="14.5" spans="1:16">
      <c r="A351" s="39">
        <v>394</v>
      </c>
      <c r="B351" s="39">
        <v>100</v>
      </c>
      <c r="C351" s="40">
        <v>90</v>
      </c>
      <c r="D351" s="40">
        <v>16</v>
      </c>
      <c r="E351">
        <v>141.14</v>
      </c>
      <c r="F351">
        <v>56.46</v>
      </c>
      <c r="G351" s="41">
        <v>0.4</v>
      </c>
      <c r="H351" s="39">
        <v>8</v>
      </c>
      <c r="I351" s="40">
        <v>0.4</v>
      </c>
      <c r="J351" s="45">
        <v>59</v>
      </c>
      <c r="K351" s="45">
        <v>5.91</v>
      </c>
      <c r="L351" s="39">
        <v>1201</v>
      </c>
      <c r="M351">
        <v>0</v>
      </c>
      <c r="N351" s="39">
        <v>647</v>
      </c>
      <c r="O351">
        <v>0</v>
      </c>
      <c r="P351" s="40">
        <v>71.63</v>
      </c>
    </row>
    <row r="352" ht="14.5" spans="1:16">
      <c r="A352" s="39">
        <v>400</v>
      </c>
      <c r="B352" s="39">
        <v>20</v>
      </c>
      <c r="C352" s="40">
        <v>25</v>
      </c>
      <c r="D352" s="40">
        <v>48</v>
      </c>
      <c r="E352">
        <v>120</v>
      </c>
      <c r="F352">
        <v>48</v>
      </c>
      <c r="G352" s="41">
        <v>0.4</v>
      </c>
      <c r="H352" s="39">
        <v>14</v>
      </c>
      <c r="I352" s="40">
        <v>0.4</v>
      </c>
      <c r="J352" s="45">
        <v>0</v>
      </c>
      <c r="K352" s="45">
        <v>10</v>
      </c>
      <c r="L352" s="39">
        <v>1201</v>
      </c>
      <c r="M352">
        <v>0</v>
      </c>
      <c r="N352" s="39">
        <v>647</v>
      </c>
      <c r="O352">
        <v>0</v>
      </c>
      <c r="P352" s="40">
        <v>57.5</v>
      </c>
    </row>
    <row r="353" ht="14.5" spans="1:16">
      <c r="A353" s="39">
        <v>400</v>
      </c>
      <c r="B353" s="39">
        <v>30</v>
      </c>
      <c r="C353" s="40">
        <v>25</v>
      </c>
      <c r="D353" s="40">
        <v>48</v>
      </c>
      <c r="E353">
        <v>107.5</v>
      </c>
      <c r="F353">
        <v>43</v>
      </c>
      <c r="G353" s="41">
        <v>0.4</v>
      </c>
      <c r="H353" s="39">
        <v>14</v>
      </c>
      <c r="I353" s="40">
        <v>0.35</v>
      </c>
      <c r="J353" s="45">
        <v>0</v>
      </c>
      <c r="K353" s="45">
        <v>12</v>
      </c>
      <c r="L353" s="39">
        <v>1201</v>
      </c>
      <c r="M353">
        <v>0</v>
      </c>
      <c r="N353" s="39">
        <v>647</v>
      </c>
      <c r="O353">
        <v>0</v>
      </c>
      <c r="P353" s="40">
        <v>66.6</v>
      </c>
    </row>
    <row r="354" ht="14.5" spans="1:16">
      <c r="A354" s="39">
        <v>400</v>
      </c>
      <c r="B354" s="39">
        <v>40</v>
      </c>
      <c r="C354" s="40">
        <v>25</v>
      </c>
      <c r="D354" s="40">
        <v>48</v>
      </c>
      <c r="E354">
        <v>94.28</v>
      </c>
      <c r="F354">
        <v>37.72</v>
      </c>
      <c r="G354" s="41">
        <v>0.4</v>
      </c>
      <c r="H354" s="39">
        <v>16</v>
      </c>
      <c r="I354" s="40">
        <v>0.3</v>
      </c>
      <c r="J354" s="45">
        <v>0</v>
      </c>
      <c r="K354" s="45">
        <v>14</v>
      </c>
      <c r="L354" s="39">
        <v>1201</v>
      </c>
      <c r="M354">
        <v>0</v>
      </c>
      <c r="N354" s="39">
        <v>647</v>
      </c>
      <c r="O354">
        <v>0</v>
      </c>
      <c r="P354" s="40">
        <v>76.9</v>
      </c>
    </row>
    <row r="355" ht="14.5" spans="3:8">
      <c r="C355" s="47"/>
      <c r="H355" s="39"/>
    </row>
    <row r="356" ht="14.5" spans="8:8">
      <c r="H356" s="39"/>
    </row>
    <row r="357" ht="14.5" spans="8:8">
      <c r="H357" s="39"/>
    </row>
    <row r="358" ht="14.5" spans="8:8">
      <c r="H358" s="39"/>
    </row>
    <row r="359" ht="14.5" spans="8:8">
      <c r="H359" s="39"/>
    </row>
    <row r="360" ht="14.5" spans="8:8">
      <c r="H360" s="39"/>
    </row>
    <row r="361" ht="14.5" spans="8:8">
      <c r="H361" s="39"/>
    </row>
    <row r="362" ht="14.5" spans="8:8">
      <c r="H362" s="39"/>
    </row>
    <row r="363" ht="14.5" spans="8:8">
      <c r="H363" s="39"/>
    </row>
    <row r="364" ht="14.5" spans="8:8">
      <c r="H364" s="39"/>
    </row>
    <row r="365" ht="14.5" spans="8:8">
      <c r="H365" s="48"/>
    </row>
  </sheetData>
  <mergeCells count="1">
    <mergeCell ref="P1:R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Asif</dc:creator>
  <cp:lastModifiedBy>themo</cp:lastModifiedBy>
  <dcterms:created xsi:type="dcterms:W3CDTF">2026-03-08T03:34:00Z</dcterms:created>
  <dcterms:modified xsi:type="dcterms:W3CDTF">2026-04-27T07:23:30Z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508240442A8A4B81A8D9DA6677C32D87_13</vt:lpwstr>
  </property>
  <property fmtid="{D5CDD505-2E9C-101B-9397-08002B2CF9AE}" pid="3" name="KSOProductBuildVer">
    <vt:lpwstr>1033-12.2.0.23196</vt:lpwstr>
  </property>
</Properties>
</file>